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ir_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9C4"/>
      <sz val="9"/>
    </font>
    <font>
      <name val="Arial"/>
      <i val="1"/>
      <color rgb="00D1FAE5"/>
      <sz val="7"/>
    </font>
    <font>
      <name val="Arial"/>
      <color rgb="001E3A5F"/>
      <sz val="10"/>
    </font>
    <font>
      <name val="Arial"/>
      <b val="1"/>
      <color rgb="00065F46"/>
      <sz val="10"/>
    </font>
    <font>
      <name val="Arial"/>
      <color rgb="0092400E"/>
      <sz val="10"/>
    </font>
    <font>
      <name val="Arial"/>
      <i val="1"/>
      <color rgb="005D4037"/>
      <sz val="10"/>
    </font>
    <font>
      <name val="Arial"/>
      <color rgb="00065F46"/>
      <sz val="10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5D4037"/>
      </patternFill>
    </fill>
    <fill>
      <patternFill patternType="solid">
        <fgColor rgb="00065F46"/>
      </patternFill>
    </fill>
    <fill>
      <patternFill patternType="solid">
        <fgColor rgb="00374151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FF3CD"/>
      </patternFill>
    </fill>
    <fill>
      <patternFill patternType="solid">
        <fgColor rgb="00FFF9C4"/>
      </patternFill>
    </fill>
    <fill>
      <patternFill patternType="solid">
        <fgColor rgb="00ECFDF5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FDBFE"/>
      </left>
      <right style="thin">
        <color rgb="00BFDBFE"/>
      </right>
      <bottom style="thin">
        <color rgb="00BFDBF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  <xf numFmtId="0" fontId="4" fillId="6" borderId="1" pivotButton="0" quotePrefix="0" xfId="0"/>
    <xf numFmtId="0" fontId="5" fillId="7" borderId="1" pivotButton="0" quotePrefix="0" xfId="0"/>
    <xf numFmtId="1" fontId="4" fillId="6" borderId="1" pivotButton="0" quotePrefix="0" xfId="0"/>
    <xf numFmtId="164" fontId="4" fillId="6" borderId="1" pivotButton="0" quotePrefix="0" xfId="0"/>
    <xf numFmtId="2" fontId="4" fillId="6" borderId="1" pivotButton="0" quotePrefix="0" xfId="0"/>
    <xf numFmtId="2" fontId="6" fillId="8" borderId="1" pivotButton="0" quotePrefix="0" xfId="0"/>
    <xf numFmtId="2" fontId="7" fillId="9" borderId="1" pivotButton="0" quotePrefix="0" xfId="0"/>
    <xf numFmtId="165" fontId="7" fillId="9" borderId="1" pivotButton="0" quotePrefix="0" xfId="0"/>
    <xf numFmtId="0" fontId="8" fillId="10" borderId="1" pivotButton="0" quotePrefix="0" xfId="0"/>
    <xf numFmtId="0" fontId="4" fillId="11" borderId="1" pivotButton="0" quotePrefix="0" xfId="0"/>
    <xf numFmtId="1" fontId="4" fillId="11" borderId="1" pivotButton="0" quotePrefix="0" xfId="0"/>
    <xf numFmtId="164" fontId="4" fillId="11" borderId="1" pivotButton="0" quotePrefix="0" xfId="0"/>
    <xf numFmtId="2" fontId="4" fillId="11" borderId="1" pivotButton="0" quotePrefix="0" xfId="0"/>
    <xf numFmtId="0" fontId="8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6" customWidth="1" min="3" max="3"/>
    <col width="10" customWidth="1" min="4" max="4"/>
    <col width="9" customWidth="1" min="5" max="5"/>
    <col width="18" customWidth="1" min="6" max="6"/>
    <col width="22" customWidth="1" min="7" max="7"/>
    <col width="14" customWidth="1" min="8" max="8"/>
    <col width="26" customWidth="1" min="9" max="9"/>
    <col width="6" customWidth="1" min="10" max="10"/>
    <col width="6" customWidth="1" min="11" max="11"/>
    <col width="10" customWidth="1" min="12" max="12"/>
    <col width="11" customWidth="1" min="13" max="13"/>
    <col width="5" customWidth="1" min="14" max="14"/>
    <col width="9" customWidth="1" min="15" max="15"/>
    <col width="10" customWidth="1" min="16" max="16"/>
    <col width="5" customWidth="1" min="17" max="17"/>
    <col width="12" customWidth="1" min="18" max="18"/>
    <col width="9" customWidth="1" min="19" max="19"/>
    <col width="7" customWidth="1" min="20" max="20"/>
    <col width="7" customWidth="1" min="21" max="21"/>
    <col width="8" customWidth="1" min="22" max="22"/>
    <col width="14" customWidth="1" min="23" max="23"/>
    <col width="12" customWidth="1" min="24" max="24"/>
    <col width="12" customWidth="1" min="25" max="25"/>
    <col width="10" customWidth="1" min="26" max="26"/>
    <col width="8" customWidth="1" min="27" max="27"/>
    <col width="9" customWidth="1" min="28" max="28"/>
    <col width="11" customWidth="1" min="29" max="29"/>
    <col width="6" customWidth="1" min="30" max="30"/>
    <col width="10" customWidth="1" min="31" max="31"/>
  </cols>
  <sheetData>
    <row r="1" ht="32" customHeight="1">
      <c r="A1" s="1" t="inlineStr">
        <is>
          <t>Item</t>
        </is>
      </c>
      <c r="B1" s="1" t="inlineStr">
        <is>
          <t>ID</t>
        </is>
      </c>
      <c r="C1" s="1" t="inlineStr">
        <is>
          <t>Ano</t>
        </is>
      </c>
      <c r="D1" s="1" t="inlineStr">
        <is>
          <t>Date</t>
        </is>
      </c>
      <c r="E1" s="1" t="inlineStr">
        <is>
          <t>Month</t>
        </is>
      </c>
      <c r="F1" s="1" t="inlineStr">
        <is>
          <t>Locality</t>
        </is>
      </c>
      <c r="G1" s="1" t="inlineStr">
        <is>
          <t>Coordinate</t>
        </is>
      </c>
      <c r="H1" s="1" t="inlineStr">
        <is>
          <t>Ordem</t>
        </is>
      </c>
      <c r="I1" s="1" t="inlineStr">
        <is>
          <t>Specie</t>
        </is>
      </c>
      <c r="J1" s="1" t="inlineStr">
        <is>
          <t>CT</t>
        </is>
      </c>
      <c r="K1" s="1" t="inlineStr">
        <is>
          <t>CP</t>
        </is>
      </c>
      <c r="L1" s="1" t="inlineStr">
        <is>
          <t>Peso total (g)</t>
        </is>
      </c>
      <c r="M1" s="1" t="inlineStr">
        <is>
          <t>Peso Evis (g)</t>
        </is>
      </c>
      <c r="N1" s="1" t="inlineStr">
        <is>
          <t>Sexo</t>
        </is>
      </c>
      <c r="O1" s="1" t="inlineStr">
        <is>
          <t>Rep Stage</t>
        </is>
      </c>
      <c r="P1" s="1" t="inlineStr">
        <is>
          <t>Peso Gonada</t>
        </is>
      </c>
      <c r="Q1" s="1" t="inlineStr">
        <is>
          <t>GR</t>
        </is>
      </c>
      <c r="R1" s="1" t="inlineStr">
        <is>
          <t>Peso de Fígado</t>
        </is>
      </c>
      <c r="S1" s="2" t="inlineStr">
        <is>
          <t>Wc</t>
        </is>
      </c>
      <c r="T1" s="2" t="inlineStr">
        <is>
          <t>IGS</t>
        </is>
      </c>
      <c r="U1" s="2" t="inlineStr">
        <is>
          <t>IHS</t>
        </is>
      </c>
      <c r="V1" s="2" t="inlineStr">
        <is>
          <t>K_fulton</t>
        </is>
      </c>
      <c r="W1" s="3" t="inlineStr">
        <is>
          <t>Level river Aver (m)</t>
        </is>
      </c>
      <c r="X1" s="3" t="inlineStr">
        <is>
          <t>Level river Max (m)</t>
        </is>
      </c>
      <c r="Y1" s="3" t="inlineStr">
        <is>
          <t>Level river Min (m)</t>
        </is>
      </c>
      <c r="Z1" s="1" t="inlineStr">
        <is>
          <t>X OD (mg/L)</t>
        </is>
      </c>
      <c r="AA1" s="1" t="inlineStr">
        <is>
          <t>X SAT (%)</t>
        </is>
      </c>
      <c r="AB1" s="1" t="inlineStr">
        <is>
          <t>X Temp (°C)</t>
        </is>
      </c>
      <c r="AC1" s="1" t="inlineStr">
        <is>
          <t>X Cond (µS/cm)</t>
        </is>
      </c>
      <c r="AD1" s="1" t="inlineStr">
        <is>
          <t>X pH</t>
        </is>
      </c>
      <c r="AE1" s="1" t="inlineStr">
        <is>
          <t>X Transp (cm)</t>
        </is>
      </c>
    </row>
    <row r="2" ht="14" customHeight="1">
      <c r="A2" s="4" t="inlineStr">
        <is>
          <t>Nº campo</t>
        </is>
      </c>
      <c r="B2" s="4" t="inlineStr">
        <is>
          <t>LIPAN-XXXX</t>
        </is>
      </c>
      <c r="C2" s="4" t="inlineStr">
        <is>
          <t>ex: 2026</t>
        </is>
      </c>
      <c r="D2" s="4" t="inlineStr"/>
      <c r="E2" s="4" t="inlineStr">
        <is>
          <t>A.-Jan ... L.-Dez</t>
        </is>
      </c>
      <c r="F2" s="4" t="inlineStr">
        <is>
          <t>Local de coleta</t>
        </is>
      </c>
      <c r="G2" s="4" t="inlineStr">
        <is>
          <t>Coordenada</t>
        </is>
      </c>
      <c r="H2" s="4" t="inlineStr">
        <is>
          <t>Siluriformes/Characiformes</t>
        </is>
      </c>
      <c r="I2" s="4" t="inlineStr">
        <is>
          <t>Nome científico</t>
        </is>
      </c>
      <c r="J2" s="4" t="inlineStr">
        <is>
          <t>cm</t>
        </is>
      </c>
      <c r="K2" s="4" t="inlineStr">
        <is>
          <t>cm</t>
        </is>
      </c>
      <c r="L2" s="4" t="inlineStr">
        <is>
          <t>g</t>
        </is>
      </c>
      <c r="M2" s="4" t="inlineStr">
        <is>
          <t>g — obrigatório</t>
        </is>
      </c>
      <c r="N2" s="4" t="inlineStr">
        <is>
          <t>F / M / -</t>
        </is>
      </c>
      <c r="O2" s="4" t="inlineStr">
        <is>
          <t>REP/ESV/MAT/EMA</t>
        </is>
      </c>
      <c r="P2" s="4" t="inlineStr">
        <is>
          <t>g</t>
        </is>
      </c>
      <c r="Q2" s="4" t="inlineStr">
        <is>
          <t>0-4</t>
        </is>
      </c>
      <c r="R2" s="4" t="inlineStr">
        <is>
          <t>g</t>
        </is>
      </c>
      <c r="S2" s="4" t="inlineStr">
        <is>
          <t>AUTO</t>
        </is>
      </c>
      <c r="T2" s="4" t="inlineStr">
        <is>
          <t>AUTO %</t>
        </is>
      </c>
      <c r="U2" s="4" t="inlineStr">
        <is>
          <t>AUTO %</t>
        </is>
      </c>
      <c r="V2" s="4" t="inlineStr">
        <is>
          <t>AUTO</t>
        </is>
      </c>
      <c r="W2" s="4" t="inlineStr">
        <is>
          <t>m</t>
        </is>
      </c>
      <c r="X2" s="4" t="inlineStr">
        <is>
          <t>m</t>
        </is>
      </c>
      <c r="Y2" s="4" t="inlineStr">
        <is>
          <t>m</t>
        </is>
      </c>
      <c r="Z2" s="4" t="inlineStr">
        <is>
          <t>mg/L</t>
        </is>
      </c>
      <c r="AA2" s="4" t="inlineStr">
        <is>
          <t>%</t>
        </is>
      </c>
      <c r="AB2" s="4" t="inlineStr">
        <is>
          <t>°C</t>
        </is>
      </c>
      <c r="AC2" s="4" t="inlineStr">
        <is>
          <t>µS/cm</t>
        </is>
      </c>
      <c r="AD2" s="4" t="inlineStr">
        <is>
          <t>adim.</t>
        </is>
      </c>
      <c r="AE2" s="4" t="inlineStr">
        <is>
          <t>cm</t>
        </is>
      </c>
    </row>
    <row r="3" ht="17" customHeight="1">
      <c r="A3" s="5" t="n"/>
      <c r="B3" s="6" t="inlineStr">
        <is>
          <t>LIPAN-5823</t>
        </is>
      </c>
      <c r="C3" s="7" t="n"/>
      <c r="D3" s="5" t="n"/>
      <c r="E3" s="5" t="n"/>
      <c r="F3" s="5" t="n"/>
      <c r="G3" s="5" t="n"/>
      <c r="H3" s="5" t="n"/>
      <c r="I3" s="5" t="n"/>
      <c r="J3" s="8" t="n"/>
      <c r="K3" s="8" t="n"/>
      <c r="L3" s="9" t="n"/>
      <c r="M3" s="10" t="n"/>
      <c r="N3" s="5" t="n"/>
      <c r="O3" s="5" t="n"/>
      <c r="P3" s="9" t="n"/>
      <c r="Q3" s="5" t="n"/>
      <c r="R3" s="9" t="n"/>
      <c r="S3" s="11">
        <f>IF(AND(M3&gt;0,P3&gt;0),M3-P3,"")</f>
        <v/>
      </c>
      <c r="T3" s="12">
        <f>IF(AND(L3&gt;0,P3&gt;0),(P3/L3)*100,"")</f>
        <v/>
      </c>
      <c r="U3" s="12">
        <f>IF(AND(L3&gt;0,R3&gt;0),(R3/L3)*100,"")</f>
        <v/>
      </c>
      <c r="V3" s="11">
        <f>IF(AND(J3&gt;0,L3&gt;0),(L3/(J3^3))*100,"")</f>
        <v/>
      </c>
      <c r="W3" s="13" t="n"/>
      <c r="X3" s="13" t="n"/>
      <c r="Y3" s="13" t="n"/>
      <c r="Z3" s="5" t="n"/>
      <c r="AA3" s="5" t="n"/>
      <c r="AB3" s="5" t="n"/>
      <c r="AC3" s="5" t="n"/>
      <c r="AD3" s="5" t="n"/>
      <c r="AE3" s="5" t="n"/>
    </row>
    <row r="4" ht="17" customHeight="1">
      <c r="A4" s="14" t="n"/>
      <c r="B4" s="6" t="inlineStr">
        <is>
          <t>LIPAN-5824</t>
        </is>
      </c>
      <c r="C4" s="15" t="n"/>
      <c r="D4" s="14" t="n"/>
      <c r="E4" s="14" t="n"/>
      <c r="F4" s="14" t="n"/>
      <c r="G4" s="14" t="n"/>
      <c r="H4" s="14" t="n"/>
      <c r="I4" s="14" t="n"/>
      <c r="J4" s="16" t="n"/>
      <c r="K4" s="16" t="n"/>
      <c r="L4" s="17" t="n"/>
      <c r="M4" s="10" t="n"/>
      <c r="N4" s="14" t="n"/>
      <c r="O4" s="14" t="n"/>
      <c r="P4" s="17" t="n"/>
      <c r="Q4" s="14" t="n"/>
      <c r="R4" s="17" t="n"/>
      <c r="S4" s="11">
        <f>IF(AND(M4&gt;0,P4&gt;0),M4-P4,"")</f>
        <v/>
      </c>
      <c r="T4" s="12">
        <f>IF(AND(L4&gt;0,P4&gt;0),(P4/L4)*100,"")</f>
        <v/>
      </c>
      <c r="U4" s="12">
        <f>IF(AND(L4&gt;0,R4&gt;0),(R4/L4)*100,"")</f>
        <v/>
      </c>
      <c r="V4" s="11">
        <f>IF(AND(J4&gt;0,L4&gt;0),(L4/(J4^3))*100,"")</f>
        <v/>
      </c>
      <c r="W4" s="18" t="n"/>
      <c r="X4" s="18" t="n"/>
      <c r="Y4" s="18" t="n"/>
      <c r="Z4" s="14" t="n"/>
      <c r="AA4" s="14" t="n"/>
      <c r="AB4" s="14" t="n"/>
      <c r="AC4" s="14" t="n"/>
      <c r="AD4" s="14" t="n"/>
      <c r="AE4" s="14" t="n"/>
    </row>
    <row r="5" ht="17" customHeight="1">
      <c r="A5" s="5" t="n"/>
      <c r="B5" s="6" t="inlineStr">
        <is>
          <t>LIPAN-5825</t>
        </is>
      </c>
      <c r="C5" s="7" t="n"/>
      <c r="D5" s="5" t="n"/>
      <c r="E5" s="5" t="n"/>
      <c r="F5" s="5" t="n"/>
      <c r="G5" s="5" t="n"/>
      <c r="H5" s="5" t="n"/>
      <c r="I5" s="5" t="n"/>
      <c r="J5" s="8" t="n"/>
      <c r="K5" s="8" t="n"/>
      <c r="L5" s="9" t="n"/>
      <c r="M5" s="10" t="n"/>
      <c r="N5" s="5" t="n"/>
      <c r="O5" s="5" t="n"/>
      <c r="P5" s="9" t="n"/>
      <c r="Q5" s="5" t="n"/>
      <c r="R5" s="9" t="n"/>
      <c r="S5" s="11">
        <f>IF(AND(M5&gt;0,P5&gt;0),M5-P5,"")</f>
        <v/>
      </c>
      <c r="T5" s="12">
        <f>IF(AND(L5&gt;0,P5&gt;0),(P5/L5)*100,"")</f>
        <v/>
      </c>
      <c r="U5" s="12">
        <f>IF(AND(L5&gt;0,R5&gt;0),(R5/L5)*100,"")</f>
        <v/>
      </c>
      <c r="V5" s="11">
        <f>IF(AND(J5&gt;0,L5&gt;0),(L5/(J5^3))*100,"")</f>
        <v/>
      </c>
      <c r="W5" s="13" t="n"/>
      <c r="X5" s="13" t="n"/>
      <c r="Y5" s="13" t="n"/>
      <c r="Z5" s="5" t="n"/>
      <c r="AA5" s="5" t="n"/>
      <c r="AB5" s="5" t="n"/>
      <c r="AC5" s="5" t="n"/>
      <c r="AD5" s="5" t="n"/>
      <c r="AE5" s="5" t="n"/>
    </row>
    <row r="6" ht="17" customHeight="1">
      <c r="A6" s="14" t="n"/>
      <c r="B6" s="6" t="inlineStr">
        <is>
          <t>LIPAN-5826</t>
        </is>
      </c>
      <c r="C6" s="15" t="n"/>
      <c r="D6" s="14" t="n"/>
      <c r="E6" s="14" t="n"/>
      <c r="F6" s="14" t="n"/>
      <c r="G6" s="14" t="n"/>
      <c r="H6" s="14" t="n"/>
      <c r="I6" s="14" t="n"/>
      <c r="J6" s="16" t="n"/>
      <c r="K6" s="16" t="n"/>
      <c r="L6" s="17" t="n"/>
      <c r="M6" s="10" t="n"/>
      <c r="N6" s="14" t="n"/>
      <c r="O6" s="14" t="n"/>
      <c r="P6" s="17" t="n"/>
      <c r="Q6" s="14" t="n"/>
      <c r="R6" s="17" t="n"/>
      <c r="S6" s="11">
        <f>IF(AND(M6&gt;0,P6&gt;0),M6-P6,"")</f>
        <v/>
      </c>
      <c r="T6" s="12">
        <f>IF(AND(L6&gt;0,P6&gt;0),(P6/L6)*100,"")</f>
        <v/>
      </c>
      <c r="U6" s="12">
        <f>IF(AND(L6&gt;0,R6&gt;0),(R6/L6)*100,"")</f>
        <v/>
      </c>
      <c r="V6" s="11">
        <f>IF(AND(J6&gt;0,L6&gt;0),(L6/(J6^3))*100,"")</f>
        <v/>
      </c>
      <c r="W6" s="18" t="n"/>
      <c r="X6" s="18" t="n"/>
      <c r="Y6" s="18" t="n"/>
      <c r="Z6" s="14" t="n"/>
      <c r="AA6" s="14" t="n"/>
      <c r="AB6" s="14" t="n"/>
      <c r="AC6" s="14" t="n"/>
      <c r="AD6" s="14" t="n"/>
      <c r="AE6" s="14" t="n"/>
    </row>
    <row r="7" ht="17" customHeight="1">
      <c r="A7" s="5" t="n"/>
      <c r="B7" s="6" t="inlineStr">
        <is>
          <t>LIPAN-5827</t>
        </is>
      </c>
      <c r="C7" s="7" t="n"/>
      <c r="D7" s="5" t="n"/>
      <c r="E7" s="5" t="n"/>
      <c r="F7" s="5" t="n"/>
      <c r="G7" s="5" t="n"/>
      <c r="H7" s="5" t="n"/>
      <c r="I7" s="5" t="n"/>
      <c r="J7" s="8" t="n"/>
      <c r="K7" s="8" t="n"/>
      <c r="L7" s="9" t="n"/>
      <c r="M7" s="10" t="n"/>
      <c r="N7" s="5" t="n"/>
      <c r="O7" s="5" t="n"/>
      <c r="P7" s="9" t="n"/>
      <c r="Q7" s="5" t="n"/>
      <c r="R7" s="9" t="n"/>
      <c r="S7" s="11">
        <f>IF(AND(M7&gt;0,P7&gt;0),M7-P7,"")</f>
        <v/>
      </c>
      <c r="T7" s="12">
        <f>IF(AND(L7&gt;0,P7&gt;0),(P7/L7)*100,"")</f>
        <v/>
      </c>
      <c r="U7" s="12">
        <f>IF(AND(L7&gt;0,R7&gt;0),(R7/L7)*100,"")</f>
        <v/>
      </c>
      <c r="V7" s="11">
        <f>IF(AND(J7&gt;0,L7&gt;0),(L7/(J7^3))*100,"")</f>
        <v/>
      </c>
      <c r="W7" s="13" t="n"/>
      <c r="X7" s="13" t="n"/>
      <c r="Y7" s="13" t="n"/>
      <c r="Z7" s="5" t="n"/>
      <c r="AA7" s="5" t="n"/>
      <c r="AB7" s="5" t="n"/>
      <c r="AC7" s="5" t="n"/>
      <c r="AD7" s="5" t="n"/>
      <c r="AE7" s="5" t="n"/>
    </row>
    <row r="8" ht="17" customHeight="1">
      <c r="A8" s="14" t="n"/>
      <c r="B8" s="6" t="inlineStr">
        <is>
          <t>LIPAN-5828</t>
        </is>
      </c>
      <c r="C8" s="15" t="n"/>
      <c r="D8" s="14" t="n"/>
      <c r="E8" s="14" t="n"/>
      <c r="F8" s="14" t="n"/>
      <c r="G8" s="14" t="n"/>
      <c r="H8" s="14" t="n"/>
      <c r="I8" s="14" t="n"/>
      <c r="J8" s="16" t="n"/>
      <c r="K8" s="16" t="n"/>
      <c r="L8" s="17" t="n"/>
      <c r="M8" s="10" t="n"/>
      <c r="N8" s="14" t="n"/>
      <c r="O8" s="14" t="n"/>
      <c r="P8" s="17" t="n"/>
      <c r="Q8" s="14" t="n"/>
      <c r="R8" s="17" t="n"/>
      <c r="S8" s="11">
        <f>IF(AND(M8&gt;0,P8&gt;0),M8-P8,"")</f>
        <v/>
      </c>
      <c r="T8" s="12">
        <f>IF(AND(L8&gt;0,P8&gt;0),(P8/L8)*100,"")</f>
        <v/>
      </c>
      <c r="U8" s="12">
        <f>IF(AND(L8&gt;0,R8&gt;0),(R8/L8)*100,"")</f>
        <v/>
      </c>
      <c r="V8" s="11">
        <f>IF(AND(J8&gt;0,L8&gt;0),(L8/(J8^3))*100,"")</f>
        <v/>
      </c>
      <c r="W8" s="18" t="n"/>
      <c r="X8" s="18" t="n"/>
      <c r="Y8" s="18" t="n"/>
      <c r="Z8" s="14" t="n"/>
      <c r="AA8" s="14" t="n"/>
      <c r="AB8" s="14" t="n"/>
      <c r="AC8" s="14" t="n"/>
      <c r="AD8" s="14" t="n"/>
      <c r="AE8" s="14" t="n"/>
    </row>
    <row r="9" ht="17" customHeight="1">
      <c r="A9" s="5" t="n"/>
      <c r="B9" s="6" t="inlineStr">
        <is>
          <t>LIPAN-5829</t>
        </is>
      </c>
      <c r="C9" s="7" t="n"/>
      <c r="D9" s="5" t="n"/>
      <c r="E9" s="5" t="n"/>
      <c r="F9" s="5" t="n"/>
      <c r="G9" s="5" t="n"/>
      <c r="H9" s="5" t="n"/>
      <c r="I9" s="5" t="n"/>
      <c r="J9" s="8" t="n"/>
      <c r="K9" s="8" t="n"/>
      <c r="L9" s="9" t="n"/>
      <c r="M9" s="10" t="n"/>
      <c r="N9" s="5" t="n"/>
      <c r="O9" s="5" t="n"/>
      <c r="P9" s="9" t="n"/>
      <c r="Q9" s="5" t="n"/>
      <c r="R9" s="9" t="n"/>
      <c r="S9" s="11">
        <f>IF(AND(M9&gt;0,P9&gt;0),M9-P9,"")</f>
        <v/>
      </c>
      <c r="T9" s="12">
        <f>IF(AND(L9&gt;0,P9&gt;0),(P9/L9)*100,"")</f>
        <v/>
      </c>
      <c r="U9" s="12">
        <f>IF(AND(L9&gt;0,R9&gt;0),(R9/L9)*100,"")</f>
        <v/>
      </c>
      <c r="V9" s="11">
        <f>IF(AND(J9&gt;0,L9&gt;0),(L9/(J9^3))*100,"")</f>
        <v/>
      </c>
      <c r="W9" s="13" t="n"/>
      <c r="X9" s="13" t="n"/>
      <c r="Y9" s="13" t="n"/>
      <c r="Z9" s="5" t="n"/>
      <c r="AA9" s="5" t="n"/>
      <c r="AB9" s="5" t="n"/>
      <c r="AC9" s="5" t="n"/>
      <c r="AD9" s="5" t="n"/>
      <c r="AE9" s="5" t="n"/>
    </row>
    <row r="10" ht="17" customHeight="1">
      <c r="A10" s="14" t="n"/>
      <c r="B10" s="6" t="inlineStr">
        <is>
          <t>LIPAN-5830</t>
        </is>
      </c>
      <c r="C10" s="15" t="n"/>
      <c r="D10" s="14" t="n"/>
      <c r="E10" s="14" t="n"/>
      <c r="F10" s="14" t="n"/>
      <c r="G10" s="14" t="n"/>
      <c r="H10" s="14" t="n"/>
      <c r="I10" s="14" t="n"/>
      <c r="J10" s="16" t="n"/>
      <c r="K10" s="16" t="n"/>
      <c r="L10" s="17" t="n"/>
      <c r="M10" s="10" t="n"/>
      <c r="N10" s="14" t="n"/>
      <c r="O10" s="14" t="n"/>
      <c r="P10" s="17" t="n"/>
      <c r="Q10" s="14" t="n"/>
      <c r="R10" s="17" t="n"/>
      <c r="S10" s="11">
        <f>IF(AND(M10&gt;0,P10&gt;0),M10-P10,"")</f>
        <v/>
      </c>
      <c r="T10" s="12">
        <f>IF(AND(L10&gt;0,P10&gt;0),(P10/L10)*100,"")</f>
        <v/>
      </c>
      <c r="U10" s="12">
        <f>IF(AND(L10&gt;0,R10&gt;0),(R10/L10)*100,"")</f>
        <v/>
      </c>
      <c r="V10" s="11">
        <f>IF(AND(J10&gt;0,L10&gt;0),(L10/(J10^3))*100,"")</f>
        <v/>
      </c>
      <c r="W10" s="18" t="n"/>
      <c r="X10" s="18" t="n"/>
      <c r="Y10" s="18" t="n"/>
      <c r="Z10" s="14" t="n"/>
      <c r="AA10" s="14" t="n"/>
      <c r="AB10" s="14" t="n"/>
      <c r="AC10" s="14" t="n"/>
      <c r="AD10" s="14" t="n"/>
      <c r="AE10" s="14" t="n"/>
    </row>
    <row r="11" ht="17" customHeight="1">
      <c r="A11" s="5" t="n"/>
      <c r="B11" s="6" t="inlineStr">
        <is>
          <t>LIPAN-5831</t>
        </is>
      </c>
      <c r="C11" s="7" t="n"/>
      <c r="D11" s="5" t="n"/>
      <c r="E11" s="5" t="n"/>
      <c r="F11" s="5" t="n"/>
      <c r="G11" s="5" t="n"/>
      <c r="H11" s="5" t="n"/>
      <c r="I11" s="5" t="n"/>
      <c r="J11" s="8" t="n"/>
      <c r="K11" s="8" t="n"/>
      <c r="L11" s="9" t="n"/>
      <c r="M11" s="10" t="n"/>
      <c r="N11" s="5" t="n"/>
      <c r="O11" s="5" t="n"/>
      <c r="P11" s="9" t="n"/>
      <c r="Q11" s="5" t="n"/>
      <c r="R11" s="9" t="n"/>
      <c r="S11" s="11">
        <f>IF(AND(M11&gt;0,P11&gt;0),M11-P11,"")</f>
        <v/>
      </c>
      <c r="T11" s="12">
        <f>IF(AND(L11&gt;0,P11&gt;0),(P11/L11)*100,"")</f>
        <v/>
      </c>
      <c r="U11" s="12">
        <f>IF(AND(L11&gt;0,R11&gt;0),(R11/L11)*100,"")</f>
        <v/>
      </c>
      <c r="V11" s="11">
        <f>IF(AND(J11&gt;0,L11&gt;0),(L11/(J11^3))*100,"")</f>
        <v/>
      </c>
      <c r="W11" s="13" t="n"/>
      <c r="X11" s="13" t="n"/>
      <c r="Y11" s="13" t="n"/>
      <c r="Z11" s="5" t="n"/>
      <c r="AA11" s="5" t="n"/>
      <c r="AB11" s="5" t="n"/>
      <c r="AC11" s="5" t="n"/>
      <c r="AD11" s="5" t="n"/>
      <c r="AE11" s="5" t="n"/>
    </row>
    <row r="12" ht="17" customHeight="1">
      <c r="A12" s="14" t="n"/>
      <c r="B12" s="6" t="inlineStr">
        <is>
          <t>LIPAN-5832</t>
        </is>
      </c>
      <c r="C12" s="15" t="n"/>
      <c r="D12" s="14" t="n"/>
      <c r="E12" s="14" t="n"/>
      <c r="F12" s="14" t="n"/>
      <c r="G12" s="14" t="n"/>
      <c r="H12" s="14" t="n"/>
      <c r="I12" s="14" t="n"/>
      <c r="J12" s="16" t="n"/>
      <c r="K12" s="16" t="n"/>
      <c r="L12" s="17" t="n"/>
      <c r="M12" s="10" t="n"/>
      <c r="N12" s="14" t="n"/>
      <c r="O12" s="14" t="n"/>
      <c r="P12" s="17" t="n"/>
      <c r="Q12" s="14" t="n"/>
      <c r="R12" s="17" t="n"/>
      <c r="S12" s="11">
        <f>IF(AND(M12&gt;0,P12&gt;0),M12-P12,"")</f>
        <v/>
      </c>
      <c r="T12" s="12">
        <f>IF(AND(L12&gt;0,P12&gt;0),(P12/L12)*100,"")</f>
        <v/>
      </c>
      <c r="U12" s="12">
        <f>IF(AND(L12&gt;0,R12&gt;0),(R12/L12)*100,"")</f>
        <v/>
      </c>
      <c r="V12" s="11">
        <f>IF(AND(J12&gt;0,L12&gt;0),(L12/(J12^3))*100,"")</f>
        <v/>
      </c>
      <c r="W12" s="18" t="n"/>
      <c r="X12" s="18" t="n"/>
      <c r="Y12" s="18" t="n"/>
      <c r="Z12" s="14" t="n"/>
      <c r="AA12" s="14" t="n"/>
      <c r="AB12" s="14" t="n"/>
      <c r="AC12" s="14" t="n"/>
      <c r="AD12" s="14" t="n"/>
      <c r="AE12" s="14" t="n"/>
    </row>
    <row r="13" ht="17" customHeight="1">
      <c r="A13" s="5" t="n"/>
      <c r="B13" s="6" t="inlineStr">
        <is>
          <t>LIPAN-5833</t>
        </is>
      </c>
      <c r="C13" s="7" t="n"/>
      <c r="D13" s="5" t="n"/>
      <c r="E13" s="5" t="n"/>
      <c r="F13" s="5" t="n"/>
      <c r="G13" s="5" t="n"/>
      <c r="H13" s="5" t="n"/>
      <c r="I13" s="5" t="n"/>
      <c r="J13" s="8" t="n"/>
      <c r="K13" s="8" t="n"/>
      <c r="L13" s="9" t="n"/>
      <c r="M13" s="10" t="n"/>
      <c r="N13" s="5" t="n"/>
      <c r="O13" s="5" t="n"/>
      <c r="P13" s="9" t="n"/>
      <c r="Q13" s="5" t="n"/>
      <c r="R13" s="9" t="n"/>
      <c r="S13" s="11">
        <f>IF(AND(M13&gt;0,P13&gt;0),M13-P13,"")</f>
        <v/>
      </c>
      <c r="T13" s="12">
        <f>IF(AND(L13&gt;0,P13&gt;0),(P13/L13)*100,"")</f>
        <v/>
      </c>
      <c r="U13" s="12">
        <f>IF(AND(L13&gt;0,R13&gt;0),(R13/L13)*100,"")</f>
        <v/>
      </c>
      <c r="V13" s="11">
        <f>IF(AND(J13&gt;0,L13&gt;0),(L13/(J13^3))*100,"")</f>
        <v/>
      </c>
      <c r="W13" s="13" t="n"/>
      <c r="X13" s="13" t="n"/>
      <c r="Y13" s="13" t="n"/>
      <c r="Z13" s="5" t="n"/>
      <c r="AA13" s="5" t="n"/>
      <c r="AB13" s="5" t="n"/>
      <c r="AC13" s="5" t="n"/>
      <c r="AD13" s="5" t="n"/>
      <c r="AE13" s="5" t="n"/>
    </row>
    <row r="14" ht="17" customHeight="1">
      <c r="A14" s="14" t="n"/>
      <c r="B14" s="6" t="inlineStr">
        <is>
          <t>LIPAN-5834</t>
        </is>
      </c>
      <c r="C14" s="15" t="n"/>
      <c r="D14" s="14" t="n"/>
      <c r="E14" s="14" t="n"/>
      <c r="F14" s="14" t="n"/>
      <c r="G14" s="14" t="n"/>
      <c r="H14" s="14" t="n"/>
      <c r="I14" s="14" t="n"/>
      <c r="J14" s="16" t="n"/>
      <c r="K14" s="16" t="n"/>
      <c r="L14" s="17" t="n"/>
      <c r="M14" s="10" t="n"/>
      <c r="N14" s="14" t="n"/>
      <c r="O14" s="14" t="n"/>
      <c r="P14" s="17" t="n"/>
      <c r="Q14" s="14" t="n"/>
      <c r="R14" s="17" t="n"/>
      <c r="S14" s="11">
        <f>IF(AND(M14&gt;0,P14&gt;0),M14-P14,"")</f>
        <v/>
      </c>
      <c r="T14" s="12">
        <f>IF(AND(L14&gt;0,P14&gt;0),(P14/L14)*100,"")</f>
        <v/>
      </c>
      <c r="U14" s="12">
        <f>IF(AND(L14&gt;0,R14&gt;0),(R14/L14)*100,"")</f>
        <v/>
      </c>
      <c r="V14" s="11">
        <f>IF(AND(J14&gt;0,L14&gt;0),(L14/(J14^3))*100,"")</f>
        <v/>
      </c>
      <c r="W14" s="18" t="n"/>
      <c r="X14" s="18" t="n"/>
      <c r="Y14" s="18" t="n"/>
      <c r="Z14" s="14" t="n"/>
      <c r="AA14" s="14" t="n"/>
      <c r="AB14" s="14" t="n"/>
      <c r="AC14" s="14" t="n"/>
      <c r="AD14" s="14" t="n"/>
      <c r="AE14" s="14" t="n"/>
    </row>
    <row r="15" ht="17" customHeight="1">
      <c r="A15" s="5" t="n"/>
      <c r="B15" s="6" t="inlineStr">
        <is>
          <t>LIPAN-5835</t>
        </is>
      </c>
      <c r="C15" s="7" t="n"/>
      <c r="D15" s="5" t="n"/>
      <c r="E15" s="5" t="n"/>
      <c r="F15" s="5" t="n"/>
      <c r="G15" s="5" t="n"/>
      <c r="H15" s="5" t="n"/>
      <c r="I15" s="5" t="n"/>
      <c r="J15" s="8" t="n"/>
      <c r="K15" s="8" t="n"/>
      <c r="L15" s="9" t="n"/>
      <c r="M15" s="10" t="n"/>
      <c r="N15" s="5" t="n"/>
      <c r="O15" s="5" t="n"/>
      <c r="P15" s="9" t="n"/>
      <c r="Q15" s="5" t="n"/>
      <c r="R15" s="9" t="n"/>
      <c r="S15" s="11">
        <f>IF(AND(M15&gt;0,P15&gt;0),M15-P15,"")</f>
        <v/>
      </c>
      <c r="T15" s="12">
        <f>IF(AND(L15&gt;0,P15&gt;0),(P15/L15)*100,"")</f>
        <v/>
      </c>
      <c r="U15" s="12">
        <f>IF(AND(L15&gt;0,R15&gt;0),(R15/L15)*100,"")</f>
        <v/>
      </c>
      <c r="V15" s="11">
        <f>IF(AND(J15&gt;0,L15&gt;0),(L15/(J15^3))*100,"")</f>
        <v/>
      </c>
      <c r="W15" s="13" t="n"/>
      <c r="X15" s="13" t="n"/>
      <c r="Y15" s="13" t="n"/>
      <c r="Z15" s="5" t="n"/>
      <c r="AA15" s="5" t="n"/>
      <c r="AB15" s="5" t="n"/>
      <c r="AC15" s="5" t="n"/>
      <c r="AD15" s="5" t="n"/>
      <c r="AE15" s="5" t="n"/>
    </row>
    <row r="16" ht="17" customHeight="1">
      <c r="A16" s="14" t="n"/>
      <c r="B16" s="6" t="inlineStr">
        <is>
          <t>LIPAN-5836</t>
        </is>
      </c>
      <c r="C16" s="15" t="n"/>
      <c r="D16" s="14" t="n"/>
      <c r="E16" s="14" t="n"/>
      <c r="F16" s="14" t="n"/>
      <c r="G16" s="14" t="n"/>
      <c r="H16" s="14" t="n"/>
      <c r="I16" s="14" t="n"/>
      <c r="J16" s="16" t="n"/>
      <c r="K16" s="16" t="n"/>
      <c r="L16" s="17" t="n"/>
      <c r="M16" s="10" t="n"/>
      <c r="N16" s="14" t="n"/>
      <c r="O16" s="14" t="n"/>
      <c r="P16" s="17" t="n"/>
      <c r="Q16" s="14" t="n"/>
      <c r="R16" s="17" t="n"/>
      <c r="S16" s="11">
        <f>IF(AND(M16&gt;0,P16&gt;0),M16-P16,"")</f>
        <v/>
      </c>
      <c r="T16" s="12">
        <f>IF(AND(L16&gt;0,P16&gt;0),(P16/L16)*100,"")</f>
        <v/>
      </c>
      <c r="U16" s="12">
        <f>IF(AND(L16&gt;0,R16&gt;0),(R16/L16)*100,"")</f>
        <v/>
      </c>
      <c r="V16" s="11">
        <f>IF(AND(J16&gt;0,L16&gt;0),(L16/(J16^3))*100,"")</f>
        <v/>
      </c>
      <c r="W16" s="18" t="n"/>
      <c r="X16" s="18" t="n"/>
      <c r="Y16" s="18" t="n"/>
      <c r="Z16" s="14" t="n"/>
      <c r="AA16" s="14" t="n"/>
      <c r="AB16" s="14" t="n"/>
      <c r="AC16" s="14" t="n"/>
      <c r="AD16" s="14" t="n"/>
      <c r="AE16" s="14" t="n"/>
    </row>
    <row r="17" ht="17" customHeight="1">
      <c r="A17" s="5" t="n"/>
      <c r="B17" s="6" t="inlineStr">
        <is>
          <t>LIPAN-5837</t>
        </is>
      </c>
      <c r="C17" s="7" t="n"/>
      <c r="D17" s="5" t="n"/>
      <c r="E17" s="5" t="n"/>
      <c r="F17" s="5" t="n"/>
      <c r="G17" s="5" t="n"/>
      <c r="H17" s="5" t="n"/>
      <c r="I17" s="5" t="n"/>
      <c r="J17" s="8" t="n"/>
      <c r="K17" s="8" t="n"/>
      <c r="L17" s="9" t="n"/>
      <c r="M17" s="10" t="n"/>
      <c r="N17" s="5" t="n"/>
      <c r="O17" s="5" t="n"/>
      <c r="P17" s="9" t="n"/>
      <c r="Q17" s="5" t="n"/>
      <c r="R17" s="9" t="n"/>
      <c r="S17" s="11">
        <f>IF(AND(M17&gt;0,P17&gt;0),M17-P17,"")</f>
        <v/>
      </c>
      <c r="T17" s="12">
        <f>IF(AND(L17&gt;0,P17&gt;0),(P17/L17)*100,"")</f>
        <v/>
      </c>
      <c r="U17" s="12">
        <f>IF(AND(L17&gt;0,R17&gt;0),(R17/L17)*100,"")</f>
        <v/>
      </c>
      <c r="V17" s="11">
        <f>IF(AND(J17&gt;0,L17&gt;0),(L17/(J17^3))*100,"")</f>
        <v/>
      </c>
      <c r="W17" s="13" t="n"/>
      <c r="X17" s="13" t="n"/>
      <c r="Y17" s="13" t="n"/>
      <c r="Z17" s="5" t="n"/>
      <c r="AA17" s="5" t="n"/>
      <c r="AB17" s="5" t="n"/>
      <c r="AC17" s="5" t="n"/>
      <c r="AD17" s="5" t="n"/>
      <c r="AE17" s="5" t="n"/>
    </row>
    <row r="18" ht="17" customHeight="1">
      <c r="A18" s="14" t="n"/>
      <c r="B18" s="6" t="inlineStr">
        <is>
          <t>LIPAN-5838</t>
        </is>
      </c>
      <c r="C18" s="15" t="n"/>
      <c r="D18" s="14" t="n"/>
      <c r="E18" s="14" t="n"/>
      <c r="F18" s="14" t="n"/>
      <c r="G18" s="14" t="n"/>
      <c r="H18" s="14" t="n"/>
      <c r="I18" s="14" t="n"/>
      <c r="J18" s="16" t="n"/>
      <c r="K18" s="16" t="n"/>
      <c r="L18" s="17" t="n"/>
      <c r="M18" s="10" t="n"/>
      <c r="N18" s="14" t="n"/>
      <c r="O18" s="14" t="n"/>
      <c r="P18" s="17" t="n"/>
      <c r="Q18" s="14" t="n"/>
      <c r="R18" s="17" t="n"/>
      <c r="S18" s="11">
        <f>IF(AND(M18&gt;0,P18&gt;0),M18-P18,"")</f>
        <v/>
      </c>
      <c r="T18" s="12">
        <f>IF(AND(L18&gt;0,P18&gt;0),(P18/L18)*100,"")</f>
        <v/>
      </c>
      <c r="U18" s="12">
        <f>IF(AND(L18&gt;0,R18&gt;0),(R18/L18)*100,"")</f>
        <v/>
      </c>
      <c r="V18" s="11">
        <f>IF(AND(J18&gt;0,L18&gt;0),(L18/(J18^3))*100,"")</f>
        <v/>
      </c>
      <c r="W18" s="18" t="n"/>
      <c r="X18" s="18" t="n"/>
      <c r="Y18" s="18" t="n"/>
      <c r="Z18" s="14" t="n"/>
      <c r="AA18" s="14" t="n"/>
      <c r="AB18" s="14" t="n"/>
      <c r="AC18" s="14" t="n"/>
      <c r="AD18" s="14" t="n"/>
      <c r="AE18" s="14" t="n"/>
    </row>
    <row r="19" ht="17" customHeight="1">
      <c r="A19" s="5" t="n"/>
      <c r="B19" s="6" t="inlineStr">
        <is>
          <t>LIPAN-5839</t>
        </is>
      </c>
      <c r="C19" s="7" t="n"/>
      <c r="D19" s="5" t="n"/>
      <c r="E19" s="5" t="n"/>
      <c r="F19" s="5" t="n"/>
      <c r="G19" s="5" t="n"/>
      <c r="H19" s="5" t="n"/>
      <c r="I19" s="5" t="n"/>
      <c r="J19" s="8" t="n"/>
      <c r="K19" s="8" t="n"/>
      <c r="L19" s="9" t="n"/>
      <c r="M19" s="10" t="n"/>
      <c r="N19" s="5" t="n"/>
      <c r="O19" s="5" t="n"/>
      <c r="P19" s="9" t="n"/>
      <c r="Q19" s="5" t="n"/>
      <c r="R19" s="9" t="n"/>
      <c r="S19" s="11">
        <f>IF(AND(M19&gt;0,P19&gt;0),M19-P19,"")</f>
        <v/>
      </c>
      <c r="T19" s="12">
        <f>IF(AND(L19&gt;0,P19&gt;0),(P19/L19)*100,"")</f>
        <v/>
      </c>
      <c r="U19" s="12">
        <f>IF(AND(L19&gt;0,R19&gt;0),(R19/L19)*100,"")</f>
        <v/>
      </c>
      <c r="V19" s="11">
        <f>IF(AND(J19&gt;0,L19&gt;0),(L19/(J19^3))*100,"")</f>
        <v/>
      </c>
      <c r="W19" s="13" t="n"/>
      <c r="X19" s="13" t="n"/>
      <c r="Y19" s="13" t="n"/>
      <c r="Z19" s="5" t="n"/>
      <c r="AA19" s="5" t="n"/>
      <c r="AB19" s="5" t="n"/>
      <c r="AC19" s="5" t="n"/>
      <c r="AD19" s="5" t="n"/>
      <c r="AE19" s="5" t="n"/>
    </row>
    <row r="20" ht="17" customHeight="1">
      <c r="A20" s="14" t="n"/>
      <c r="B20" s="6" t="inlineStr">
        <is>
          <t>LIPAN-5840</t>
        </is>
      </c>
      <c r="C20" s="15" t="n"/>
      <c r="D20" s="14" t="n"/>
      <c r="E20" s="14" t="n"/>
      <c r="F20" s="14" t="n"/>
      <c r="G20" s="14" t="n"/>
      <c r="H20" s="14" t="n"/>
      <c r="I20" s="14" t="n"/>
      <c r="J20" s="16" t="n"/>
      <c r="K20" s="16" t="n"/>
      <c r="L20" s="17" t="n"/>
      <c r="M20" s="10" t="n"/>
      <c r="N20" s="14" t="n"/>
      <c r="O20" s="14" t="n"/>
      <c r="P20" s="17" t="n"/>
      <c r="Q20" s="14" t="n"/>
      <c r="R20" s="17" t="n"/>
      <c r="S20" s="11">
        <f>IF(AND(M20&gt;0,P20&gt;0),M20-P20,"")</f>
        <v/>
      </c>
      <c r="T20" s="12">
        <f>IF(AND(L20&gt;0,P20&gt;0),(P20/L20)*100,"")</f>
        <v/>
      </c>
      <c r="U20" s="12">
        <f>IF(AND(L20&gt;0,R20&gt;0),(R20/L20)*100,"")</f>
        <v/>
      </c>
      <c r="V20" s="11">
        <f>IF(AND(J20&gt;0,L20&gt;0),(L20/(J20^3))*100,"")</f>
        <v/>
      </c>
      <c r="W20" s="18" t="n"/>
      <c r="X20" s="18" t="n"/>
      <c r="Y20" s="18" t="n"/>
      <c r="Z20" s="14" t="n"/>
      <c r="AA20" s="14" t="n"/>
      <c r="AB20" s="14" t="n"/>
      <c r="AC20" s="14" t="n"/>
      <c r="AD20" s="14" t="n"/>
      <c r="AE20" s="14" t="n"/>
    </row>
    <row r="21" ht="17" customHeight="1">
      <c r="A21" s="5" t="n"/>
      <c r="B21" s="6" t="inlineStr">
        <is>
          <t>LIPAN-5841</t>
        </is>
      </c>
      <c r="C21" s="7" t="n"/>
      <c r="D21" s="5" t="n"/>
      <c r="E21" s="5" t="n"/>
      <c r="F21" s="5" t="n"/>
      <c r="G21" s="5" t="n"/>
      <c r="H21" s="5" t="n"/>
      <c r="I21" s="5" t="n"/>
      <c r="J21" s="8" t="n"/>
      <c r="K21" s="8" t="n"/>
      <c r="L21" s="9" t="n"/>
      <c r="M21" s="10" t="n"/>
      <c r="N21" s="5" t="n"/>
      <c r="O21" s="5" t="n"/>
      <c r="P21" s="9" t="n"/>
      <c r="Q21" s="5" t="n"/>
      <c r="R21" s="9" t="n"/>
      <c r="S21" s="11">
        <f>IF(AND(M21&gt;0,P21&gt;0),M21-P21,"")</f>
        <v/>
      </c>
      <c r="T21" s="12">
        <f>IF(AND(L21&gt;0,P21&gt;0),(P21/L21)*100,"")</f>
        <v/>
      </c>
      <c r="U21" s="12">
        <f>IF(AND(L21&gt;0,R21&gt;0),(R21/L21)*100,"")</f>
        <v/>
      </c>
      <c r="V21" s="11">
        <f>IF(AND(J21&gt;0,L21&gt;0),(L21/(J21^3))*100,"")</f>
        <v/>
      </c>
      <c r="W21" s="13" t="n"/>
      <c r="X21" s="13" t="n"/>
      <c r="Y21" s="13" t="n"/>
      <c r="Z21" s="5" t="n"/>
      <c r="AA21" s="5" t="n"/>
      <c r="AB21" s="5" t="n"/>
      <c r="AC21" s="5" t="n"/>
      <c r="AD21" s="5" t="n"/>
      <c r="AE21" s="5" t="n"/>
    </row>
    <row r="22" ht="17" customHeight="1">
      <c r="A22" s="14" t="n"/>
      <c r="B22" s="6" t="inlineStr">
        <is>
          <t>LIPAN-5842</t>
        </is>
      </c>
      <c r="C22" s="15" t="n"/>
      <c r="D22" s="14" t="n"/>
      <c r="E22" s="14" t="n"/>
      <c r="F22" s="14" t="n"/>
      <c r="G22" s="14" t="n"/>
      <c r="H22" s="14" t="n"/>
      <c r="I22" s="14" t="n"/>
      <c r="J22" s="16" t="n"/>
      <c r="K22" s="16" t="n"/>
      <c r="L22" s="17" t="n"/>
      <c r="M22" s="10" t="n"/>
      <c r="N22" s="14" t="n"/>
      <c r="O22" s="14" t="n"/>
      <c r="P22" s="17" t="n"/>
      <c r="Q22" s="14" t="n"/>
      <c r="R22" s="17" t="n"/>
      <c r="S22" s="11">
        <f>IF(AND(M22&gt;0,P22&gt;0),M22-P22,"")</f>
        <v/>
      </c>
      <c r="T22" s="12">
        <f>IF(AND(L22&gt;0,P22&gt;0),(P22/L22)*100,"")</f>
        <v/>
      </c>
      <c r="U22" s="12">
        <f>IF(AND(L22&gt;0,R22&gt;0),(R22/L22)*100,"")</f>
        <v/>
      </c>
      <c r="V22" s="11">
        <f>IF(AND(J22&gt;0,L22&gt;0),(L22/(J22^3))*100,"")</f>
        <v/>
      </c>
      <c r="W22" s="18" t="n"/>
      <c r="X22" s="18" t="n"/>
      <c r="Y22" s="18" t="n"/>
      <c r="Z22" s="14" t="n"/>
      <c r="AA22" s="14" t="n"/>
      <c r="AB22" s="14" t="n"/>
      <c r="AC22" s="14" t="n"/>
      <c r="AD22" s="14" t="n"/>
      <c r="AE22" s="14" t="n"/>
    </row>
    <row r="23" ht="17" customHeight="1">
      <c r="A23" s="5" t="n"/>
      <c r="B23" s="6" t="inlineStr">
        <is>
          <t>LIPAN-5843</t>
        </is>
      </c>
      <c r="C23" s="7" t="n"/>
      <c r="D23" s="5" t="n"/>
      <c r="E23" s="5" t="n"/>
      <c r="F23" s="5" t="n"/>
      <c r="G23" s="5" t="n"/>
      <c r="H23" s="5" t="n"/>
      <c r="I23" s="5" t="n"/>
      <c r="J23" s="8" t="n"/>
      <c r="K23" s="8" t="n"/>
      <c r="L23" s="9" t="n"/>
      <c r="M23" s="10" t="n"/>
      <c r="N23" s="5" t="n"/>
      <c r="O23" s="5" t="n"/>
      <c r="P23" s="9" t="n"/>
      <c r="Q23" s="5" t="n"/>
      <c r="R23" s="9" t="n"/>
      <c r="S23" s="11">
        <f>IF(AND(M23&gt;0,P23&gt;0),M23-P23,"")</f>
        <v/>
      </c>
      <c r="T23" s="12">
        <f>IF(AND(L23&gt;0,P23&gt;0),(P23/L23)*100,"")</f>
        <v/>
      </c>
      <c r="U23" s="12">
        <f>IF(AND(L23&gt;0,R23&gt;0),(R23/L23)*100,"")</f>
        <v/>
      </c>
      <c r="V23" s="11">
        <f>IF(AND(J23&gt;0,L23&gt;0),(L23/(J23^3))*100,"")</f>
        <v/>
      </c>
      <c r="W23" s="13" t="n"/>
      <c r="X23" s="13" t="n"/>
      <c r="Y23" s="13" t="n"/>
      <c r="Z23" s="5" t="n"/>
      <c r="AA23" s="5" t="n"/>
      <c r="AB23" s="5" t="n"/>
      <c r="AC23" s="5" t="n"/>
      <c r="AD23" s="5" t="n"/>
      <c r="AE23" s="5" t="n"/>
    </row>
    <row r="24" ht="17" customHeight="1">
      <c r="A24" s="14" t="n"/>
      <c r="B24" s="6" t="inlineStr">
        <is>
          <t>LIPAN-5844</t>
        </is>
      </c>
      <c r="C24" s="15" t="n"/>
      <c r="D24" s="14" t="n"/>
      <c r="E24" s="14" t="n"/>
      <c r="F24" s="14" t="n"/>
      <c r="G24" s="14" t="n"/>
      <c r="H24" s="14" t="n"/>
      <c r="I24" s="14" t="n"/>
      <c r="J24" s="16" t="n"/>
      <c r="K24" s="16" t="n"/>
      <c r="L24" s="17" t="n"/>
      <c r="M24" s="10" t="n"/>
      <c r="N24" s="14" t="n"/>
      <c r="O24" s="14" t="n"/>
      <c r="P24" s="17" t="n"/>
      <c r="Q24" s="14" t="n"/>
      <c r="R24" s="17" t="n"/>
      <c r="S24" s="11">
        <f>IF(AND(M24&gt;0,P24&gt;0),M24-P24,"")</f>
        <v/>
      </c>
      <c r="T24" s="12">
        <f>IF(AND(L24&gt;0,P24&gt;0),(P24/L24)*100,"")</f>
        <v/>
      </c>
      <c r="U24" s="12">
        <f>IF(AND(L24&gt;0,R24&gt;0),(R24/L24)*100,"")</f>
        <v/>
      </c>
      <c r="V24" s="11">
        <f>IF(AND(J24&gt;0,L24&gt;0),(L24/(J24^3))*100,"")</f>
        <v/>
      </c>
      <c r="W24" s="18" t="n"/>
      <c r="X24" s="18" t="n"/>
      <c r="Y24" s="18" t="n"/>
      <c r="Z24" s="14" t="n"/>
      <c r="AA24" s="14" t="n"/>
      <c r="AB24" s="14" t="n"/>
      <c r="AC24" s="14" t="n"/>
      <c r="AD24" s="14" t="n"/>
      <c r="AE24" s="14" t="n"/>
    </row>
    <row r="25" ht="17" customHeight="1">
      <c r="A25" s="5" t="n"/>
      <c r="B25" s="6" t="inlineStr">
        <is>
          <t>LIPAN-5845</t>
        </is>
      </c>
      <c r="C25" s="7" t="n"/>
      <c r="D25" s="5" t="n"/>
      <c r="E25" s="5" t="n"/>
      <c r="F25" s="5" t="n"/>
      <c r="G25" s="5" t="n"/>
      <c r="H25" s="5" t="n"/>
      <c r="I25" s="5" t="n"/>
      <c r="J25" s="8" t="n"/>
      <c r="K25" s="8" t="n"/>
      <c r="L25" s="9" t="n"/>
      <c r="M25" s="10" t="n"/>
      <c r="N25" s="5" t="n"/>
      <c r="O25" s="5" t="n"/>
      <c r="P25" s="9" t="n"/>
      <c r="Q25" s="5" t="n"/>
      <c r="R25" s="9" t="n"/>
      <c r="S25" s="11">
        <f>IF(AND(M25&gt;0,P25&gt;0),M25-P25,"")</f>
        <v/>
      </c>
      <c r="T25" s="12">
        <f>IF(AND(L25&gt;0,P25&gt;0),(P25/L25)*100,"")</f>
        <v/>
      </c>
      <c r="U25" s="12">
        <f>IF(AND(L25&gt;0,R25&gt;0),(R25/L25)*100,"")</f>
        <v/>
      </c>
      <c r="V25" s="11">
        <f>IF(AND(J25&gt;0,L25&gt;0),(L25/(J25^3))*100,"")</f>
        <v/>
      </c>
      <c r="W25" s="13" t="n"/>
      <c r="X25" s="13" t="n"/>
      <c r="Y25" s="13" t="n"/>
      <c r="Z25" s="5" t="n"/>
      <c r="AA25" s="5" t="n"/>
      <c r="AB25" s="5" t="n"/>
      <c r="AC25" s="5" t="n"/>
      <c r="AD25" s="5" t="n"/>
      <c r="AE25" s="5" t="n"/>
    </row>
    <row r="26" ht="17" customHeight="1">
      <c r="A26" s="14" t="n"/>
      <c r="B26" s="6" t="inlineStr">
        <is>
          <t>LIPAN-5846</t>
        </is>
      </c>
      <c r="C26" s="15" t="n"/>
      <c r="D26" s="14" t="n"/>
      <c r="E26" s="14" t="n"/>
      <c r="F26" s="14" t="n"/>
      <c r="G26" s="14" t="n"/>
      <c r="H26" s="14" t="n"/>
      <c r="I26" s="14" t="n"/>
      <c r="J26" s="16" t="n"/>
      <c r="K26" s="16" t="n"/>
      <c r="L26" s="17" t="n"/>
      <c r="M26" s="10" t="n"/>
      <c r="N26" s="14" t="n"/>
      <c r="O26" s="14" t="n"/>
      <c r="P26" s="17" t="n"/>
      <c r="Q26" s="14" t="n"/>
      <c r="R26" s="17" t="n"/>
      <c r="S26" s="11">
        <f>IF(AND(M26&gt;0,P26&gt;0),M26-P26,"")</f>
        <v/>
      </c>
      <c r="T26" s="12">
        <f>IF(AND(L26&gt;0,P26&gt;0),(P26/L26)*100,"")</f>
        <v/>
      </c>
      <c r="U26" s="12">
        <f>IF(AND(L26&gt;0,R26&gt;0),(R26/L26)*100,"")</f>
        <v/>
      </c>
      <c r="V26" s="11">
        <f>IF(AND(J26&gt;0,L26&gt;0),(L26/(J26^3))*100,"")</f>
        <v/>
      </c>
      <c r="W26" s="18" t="n"/>
      <c r="X26" s="18" t="n"/>
      <c r="Y26" s="18" t="n"/>
      <c r="Z26" s="14" t="n"/>
      <c r="AA26" s="14" t="n"/>
      <c r="AB26" s="14" t="n"/>
      <c r="AC26" s="14" t="n"/>
      <c r="AD26" s="14" t="n"/>
      <c r="AE26" s="14" t="n"/>
    </row>
    <row r="27" ht="17" customHeight="1">
      <c r="A27" s="5" t="n"/>
      <c r="B27" s="6" t="inlineStr">
        <is>
          <t>LIPAN-5847</t>
        </is>
      </c>
      <c r="C27" s="7" t="n"/>
      <c r="D27" s="5" t="n"/>
      <c r="E27" s="5" t="n"/>
      <c r="F27" s="5" t="n"/>
      <c r="G27" s="5" t="n"/>
      <c r="H27" s="5" t="n"/>
      <c r="I27" s="5" t="n"/>
      <c r="J27" s="8" t="n"/>
      <c r="K27" s="8" t="n"/>
      <c r="L27" s="9" t="n"/>
      <c r="M27" s="10" t="n"/>
      <c r="N27" s="5" t="n"/>
      <c r="O27" s="5" t="n"/>
      <c r="P27" s="9" t="n"/>
      <c r="Q27" s="5" t="n"/>
      <c r="R27" s="9" t="n"/>
      <c r="S27" s="11">
        <f>IF(AND(M27&gt;0,P27&gt;0),M27-P27,"")</f>
        <v/>
      </c>
      <c r="T27" s="12">
        <f>IF(AND(L27&gt;0,P27&gt;0),(P27/L27)*100,"")</f>
        <v/>
      </c>
      <c r="U27" s="12">
        <f>IF(AND(L27&gt;0,R27&gt;0),(R27/L27)*100,"")</f>
        <v/>
      </c>
      <c r="V27" s="11">
        <f>IF(AND(J27&gt;0,L27&gt;0),(L27/(J27^3))*100,"")</f>
        <v/>
      </c>
      <c r="W27" s="13" t="n"/>
      <c r="X27" s="13" t="n"/>
      <c r="Y27" s="13" t="n"/>
      <c r="Z27" s="5" t="n"/>
      <c r="AA27" s="5" t="n"/>
      <c r="AB27" s="5" t="n"/>
      <c r="AC27" s="5" t="n"/>
      <c r="AD27" s="5" t="n"/>
      <c r="AE27" s="5" t="n"/>
    </row>
    <row r="28" ht="17" customHeight="1">
      <c r="A28" s="14" t="n"/>
      <c r="B28" s="6" t="inlineStr">
        <is>
          <t>LIPAN-5848</t>
        </is>
      </c>
      <c r="C28" s="15" t="n"/>
      <c r="D28" s="14" t="n"/>
      <c r="E28" s="14" t="n"/>
      <c r="F28" s="14" t="n"/>
      <c r="G28" s="14" t="n"/>
      <c r="H28" s="14" t="n"/>
      <c r="I28" s="14" t="n"/>
      <c r="J28" s="16" t="n"/>
      <c r="K28" s="16" t="n"/>
      <c r="L28" s="17" t="n"/>
      <c r="M28" s="10" t="n"/>
      <c r="N28" s="14" t="n"/>
      <c r="O28" s="14" t="n"/>
      <c r="P28" s="17" t="n"/>
      <c r="Q28" s="14" t="n"/>
      <c r="R28" s="17" t="n"/>
      <c r="S28" s="11">
        <f>IF(AND(M28&gt;0,P28&gt;0),M28-P28,"")</f>
        <v/>
      </c>
      <c r="T28" s="12">
        <f>IF(AND(L28&gt;0,P28&gt;0),(P28/L28)*100,"")</f>
        <v/>
      </c>
      <c r="U28" s="12">
        <f>IF(AND(L28&gt;0,R28&gt;0),(R28/L28)*100,"")</f>
        <v/>
      </c>
      <c r="V28" s="11">
        <f>IF(AND(J28&gt;0,L28&gt;0),(L28/(J28^3))*100,"")</f>
        <v/>
      </c>
      <c r="W28" s="18" t="n"/>
      <c r="X28" s="18" t="n"/>
      <c r="Y28" s="18" t="n"/>
      <c r="Z28" s="14" t="n"/>
      <c r="AA28" s="14" t="n"/>
      <c r="AB28" s="14" t="n"/>
      <c r="AC28" s="14" t="n"/>
      <c r="AD28" s="14" t="n"/>
      <c r="AE28" s="14" t="n"/>
    </row>
    <row r="29" ht="17" customHeight="1">
      <c r="A29" s="5" t="n"/>
      <c r="B29" s="6" t="inlineStr">
        <is>
          <t>LIPAN-5849</t>
        </is>
      </c>
      <c r="C29" s="7" t="n"/>
      <c r="D29" s="5" t="n"/>
      <c r="E29" s="5" t="n"/>
      <c r="F29" s="5" t="n"/>
      <c r="G29" s="5" t="n"/>
      <c r="H29" s="5" t="n"/>
      <c r="I29" s="5" t="n"/>
      <c r="J29" s="8" t="n"/>
      <c r="K29" s="8" t="n"/>
      <c r="L29" s="9" t="n"/>
      <c r="M29" s="10" t="n"/>
      <c r="N29" s="5" t="n"/>
      <c r="O29" s="5" t="n"/>
      <c r="P29" s="9" t="n"/>
      <c r="Q29" s="5" t="n"/>
      <c r="R29" s="9" t="n"/>
      <c r="S29" s="11">
        <f>IF(AND(M29&gt;0,P29&gt;0),M29-P29,"")</f>
        <v/>
      </c>
      <c r="T29" s="12">
        <f>IF(AND(L29&gt;0,P29&gt;0),(P29/L29)*100,"")</f>
        <v/>
      </c>
      <c r="U29" s="12">
        <f>IF(AND(L29&gt;0,R29&gt;0),(R29/L29)*100,"")</f>
        <v/>
      </c>
      <c r="V29" s="11">
        <f>IF(AND(J29&gt;0,L29&gt;0),(L29/(J29^3))*100,"")</f>
        <v/>
      </c>
      <c r="W29" s="13" t="n"/>
      <c r="X29" s="13" t="n"/>
      <c r="Y29" s="13" t="n"/>
      <c r="Z29" s="5" t="n"/>
      <c r="AA29" s="5" t="n"/>
      <c r="AB29" s="5" t="n"/>
      <c r="AC29" s="5" t="n"/>
      <c r="AD29" s="5" t="n"/>
      <c r="AE29" s="5" t="n"/>
    </row>
    <row r="30" ht="17" customHeight="1">
      <c r="A30" s="14" t="n"/>
      <c r="B30" s="6" t="inlineStr">
        <is>
          <t>LIPAN-5850</t>
        </is>
      </c>
      <c r="C30" s="15" t="n"/>
      <c r="D30" s="14" t="n"/>
      <c r="E30" s="14" t="n"/>
      <c r="F30" s="14" t="n"/>
      <c r="G30" s="14" t="n"/>
      <c r="H30" s="14" t="n"/>
      <c r="I30" s="14" t="n"/>
      <c r="J30" s="16" t="n"/>
      <c r="K30" s="16" t="n"/>
      <c r="L30" s="17" t="n"/>
      <c r="M30" s="10" t="n"/>
      <c r="N30" s="14" t="n"/>
      <c r="O30" s="14" t="n"/>
      <c r="P30" s="17" t="n"/>
      <c r="Q30" s="14" t="n"/>
      <c r="R30" s="17" t="n"/>
      <c r="S30" s="11">
        <f>IF(AND(M30&gt;0,P30&gt;0),M30-P30,"")</f>
        <v/>
      </c>
      <c r="T30" s="12">
        <f>IF(AND(L30&gt;0,P30&gt;0),(P30/L30)*100,"")</f>
        <v/>
      </c>
      <c r="U30" s="12">
        <f>IF(AND(L30&gt;0,R30&gt;0),(R30/L30)*100,"")</f>
        <v/>
      </c>
      <c r="V30" s="11">
        <f>IF(AND(J30&gt;0,L30&gt;0),(L30/(J30^3))*100,"")</f>
        <v/>
      </c>
      <c r="W30" s="18" t="n"/>
      <c r="X30" s="18" t="n"/>
      <c r="Y30" s="18" t="n"/>
      <c r="Z30" s="14" t="n"/>
      <c r="AA30" s="14" t="n"/>
      <c r="AB30" s="14" t="n"/>
      <c r="AC30" s="14" t="n"/>
      <c r="AD30" s="14" t="n"/>
      <c r="AE30" s="14" t="n"/>
    </row>
    <row r="31" ht="17" customHeight="1">
      <c r="A31" s="5" t="n"/>
      <c r="B31" s="6" t="inlineStr">
        <is>
          <t>LIPAN-5851</t>
        </is>
      </c>
      <c r="C31" s="7" t="n"/>
      <c r="D31" s="5" t="n"/>
      <c r="E31" s="5" t="n"/>
      <c r="F31" s="5" t="n"/>
      <c r="G31" s="5" t="n"/>
      <c r="H31" s="5" t="n"/>
      <c r="I31" s="5" t="n"/>
      <c r="J31" s="8" t="n"/>
      <c r="K31" s="8" t="n"/>
      <c r="L31" s="9" t="n"/>
      <c r="M31" s="10" t="n"/>
      <c r="N31" s="5" t="n"/>
      <c r="O31" s="5" t="n"/>
      <c r="P31" s="9" t="n"/>
      <c r="Q31" s="5" t="n"/>
      <c r="R31" s="9" t="n"/>
      <c r="S31" s="11">
        <f>IF(AND(M31&gt;0,P31&gt;0),M31-P31,"")</f>
        <v/>
      </c>
      <c r="T31" s="12">
        <f>IF(AND(L31&gt;0,P31&gt;0),(P31/L31)*100,"")</f>
        <v/>
      </c>
      <c r="U31" s="12">
        <f>IF(AND(L31&gt;0,R31&gt;0),(R31/L31)*100,"")</f>
        <v/>
      </c>
      <c r="V31" s="11">
        <f>IF(AND(J31&gt;0,L31&gt;0),(L31/(J31^3))*100,"")</f>
        <v/>
      </c>
      <c r="W31" s="13" t="n"/>
      <c r="X31" s="13" t="n"/>
      <c r="Y31" s="13" t="n"/>
      <c r="Z31" s="5" t="n"/>
      <c r="AA31" s="5" t="n"/>
      <c r="AB31" s="5" t="n"/>
      <c r="AC31" s="5" t="n"/>
      <c r="AD31" s="5" t="n"/>
      <c r="AE31" s="5" t="n"/>
    </row>
    <row r="32" ht="17" customHeight="1">
      <c r="A32" s="14" t="n"/>
      <c r="B32" s="6" t="inlineStr">
        <is>
          <t>LIPAN-5852</t>
        </is>
      </c>
      <c r="C32" s="15" t="n"/>
      <c r="D32" s="14" t="n"/>
      <c r="E32" s="14" t="n"/>
      <c r="F32" s="14" t="n"/>
      <c r="G32" s="14" t="n"/>
      <c r="H32" s="14" t="n"/>
      <c r="I32" s="14" t="n"/>
      <c r="J32" s="16" t="n"/>
      <c r="K32" s="16" t="n"/>
      <c r="L32" s="17" t="n"/>
      <c r="M32" s="10" t="n"/>
      <c r="N32" s="14" t="n"/>
      <c r="O32" s="14" t="n"/>
      <c r="P32" s="17" t="n"/>
      <c r="Q32" s="14" t="n"/>
      <c r="R32" s="17" t="n"/>
      <c r="S32" s="11">
        <f>IF(AND(M32&gt;0,P32&gt;0),M32-P32,"")</f>
        <v/>
      </c>
      <c r="T32" s="12">
        <f>IF(AND(L32&gt;0,P32&gt;0),(P32/L32)*100,"")</f>
        <v/>
      </c>
      <c r="U32" s="12">
        <f>IF(AND(L32&gt;0,R32&gt;0),(R32/L32)*100,"")</f>
        <v/>
      </c>
      <c r="V32" s="11">
        <f>IF(AND(J32&gt;0,L32&gt;0),(L32/(J32^3))*100,"")</f>
        <v/>
      </c>
      <c r="W32" s="18" t="n"/>
      <c r="X32" s="18" t="n"/>
      <c r="Y32" s="18" t="n"/>
      <c r="Z32" s="14" t="n"/>
      <c r="AA32" s="14" t="n"/>
      <c r="AB32" s="14" t="n"/>
      <c r="AC32" s="14" t="n"/>
      <c r="AD32" s="14" t="n"/>
      <c r="AE32" s="14" t="n"/>
    </row>
    <row r="33" ht="17" customHeight="1">
      <c r="A33" s="5" t="n"/>
      <c r="B33" s="6" t="inlineStr">
        <is>
          <t>LIPAN-5853</t>
        </is>
      </c>
      <c r="C33" s="7" t="n"/>
      <c r="D33" s="5" t="n"/>
      <c r="E33" s="5" t="n"/>
      <c r="F33" s="5" t="n"/>
      <c r="G33" s="5" t="n"/>
      <c r="H33" s="5" t="n"/>
      <c r="I33" s="5" t="n"/>
      <c r="J33" s="8" t="n"/>
      <c r="K33" s="8" t="n"/>
      <c r="L33" s="9" t="n"/>
      <c r="M33" s="10" t="n"/>
      <c r="N33" s="5" t="n"/>
      <c r="O33" s="5" t="n"/>
      <c r="P33" s="9" t="n"/>
      <c r="Q33" s="5" t="n"/>
      <c r="R33" s="9" t="n"/>
      <c r="S33" s="11">
        <f>IF(AND(M33&gt;0,P33&gt;0),M33-P33,"")</f>
        <v/>
      </c>
      <c r="T33" s="12">
        <f>IF(AND(L33&gt;0,P33&gt;0),(P33/L33)*100,"")</f>
        <v/>
      </c>
      <c r="U33" s="12">
        <f>IF(AND(L33&gt;0,R33&gt;0),(R33/L33)*100,"")</f>
        <v/>
      </c>
      <c r="V33" s="11">
        <f>IF(AND(J33&gt;0,L33&gt;0),(L33/(J33^3))*100,"")</f>
        <v/>
      </c>
      <c r="W33" s="13" t="n"/>
      <c r="X33" s="13" t="n"/>
      <c r="Y33" s="13" t="n"/>
      <c r="Z33" s="5" t="n"/>
      <c r="AA33" s="5" t="n"/>
      <c r="AB33" s="5" t="n"/>
      <c r="AC33" s="5" t="n"/>
      <c r="AD33" s="5" t="n"/>
      <c r="AE33" s="5" t="n"/>
    </row>
    <row r="34" ht="17" customHeight="1">
      <c r="A34" s="14" t="n"/>
      <c r="B34" s="6" t="inlineStr">
        <is>
          <t>LIPAN-5854</t>
        </is>
      </c>
      <c r="C34" s="15" t="n"/>
      <c r="D34" s="14" t="n"/>
      <c r="E34" s="14" t="n"/>
      <c r="F34" s="14" t="n"/>
      <c r="G34" s="14" t="n"/>
      <c r="H34" s="14" t="n"/>
      <c r="I34" s="14" t="n"/>
      <c r="J34" s="16" t="n"/>
      <c r="K34" s="16" t="n"/>
      <c r="L34" s="17" t="n"/>
      <c r="M34" s="10" t="n"/>
      <c r="N34" s="14" t="n"/>
      <c r="O34" s="14" t="n"/>
      <c r="P34" s="17" t="n"/>
      <c r="Q34" s="14" t="n"/>
      <c r="R34" s="17" t="n"/>
      <c r="S34" s="11">
        <f>IF(AND(M34&gt;0,P34&gt;0),M34-P34,"")</f>
        <v/>
      </c>
      <c r="T34" s="12">
        <f>IF(AND(L34&gt;0,P34&gt;0),(P34/L34)*100,"")</f>
        <v/>
      </c>
      <c r="U34" s="12">
        <f>IF(AND(L34&gt;0,R34&gt;0),(R34/L34)*100,"")</f>
        <v/>
      </c>
      <c r="V34" s="11">
        <f>IF(AND(J34&gt;0,L34&gt;0),(L34/(J34^3))*100,"")</f>
        <v/>
      </c>
      <c r="W34" s="18" t="n"/>
      <c r="X34" s="18" t="n"/>
      <c r="Y34" s="18" t="n"/>
      <c r="Z34" s="14" t="n"/>
      <c r="AA34" s="14" t="n"/>
      <c r="AB34" s="14" t="n"/>
      <c r="AC34" s="14" t="n"/>
      <c r="AD34" s="14" t="n"/>
      <c r="AE34" s="14" t="n"/>
    </row>
    <row r="35" ht="17" customHeight="1">
      <c r="A35" s="5" t="n"/>
      <c r="B35" s="6" t="inlineStr">
        <is>
          <t>LIPAN-5855</t>
        </is>
      </c>
      <c r="C35" s="7" t="n"/>
      <c r="D35" s="5" t="n"/>
      <c r="E35" s="5" t="n"/>
      <c r="F35" s="5" t="n"/>
      <c r="G35" s="5" t="n"/>
      <c r="H35" s="5" t="n"/>
      <c r="I35" s="5" t="n"/>
      <c r="J35" s="8" t="n"/>
      <c r="K35" s="8" t="n"/>
      <c r="L35" s="9" t="n"/>
      <c r="M35" s="10" t="n"/>
      <c r="N35" s="5" t="n"/>
      <c r="O35" s="5" t="n"/>
      <c r="P35" s="9" t="n"/>
      <c r="Q35" s="5" t="n"/>
      <c r="R35" s="9" t="n"/>
      <c r="S35" s="11">
        <f>IF(AND(M35&gt;0,P35&gt;0),M35-P35,"")</f>
        <v/>
      </c>
      <c r="T35" s="12">
        <f>IF(AND(L35&gt;0,P35&gt;0),(P35/L35)*100,"")</f>
        <v/>
      </c>
      <c r="U35" s="12">
        <f>IF(AND(L35&gt;0,R35&gt;0),(R35/L35)*100,"")</f>
        <v/>
      </c>
      <c r="V35" s="11">
        <f>IF(AND(J35&gt;0,L35&gt;0),(L35/(J35^3))*100,"")</f>
        <v/>
      </c>
      <c r="W35" s="13" t="n"/>
      <c r="X35" s="13" t="n"/>
      <c r="Y35" s="13" t="n"/>
      <c r="Z35" s="5" t="n"/>
      <c r="AA35" s="5" t="n"/>
      <c r="AB35" s="5" t="n"/>
      <c r="AC35" s="5" t="n"/>
      <c r="AD35" s="5" t="n"/>
      <c r="AE35" s="5" t="n"/>
    </row>
    <row r="36" ht="17" customHeight="1">
      <c r="A36" s="14" t="n"/>
      <c r="B36" s="6" t="inlineStr">
        <is>
          <t>LIPAN-5856</t>
        </is>
      </c>
      <c r="C36" s="15" t="n"/>
      <c r="D36" s="14" t="n"/>
      <c r="E36" s="14" t="n"/>
      <c r="F36" s="14" t="n"/>
      <c r="G36" s="14" t="n"/>
      <c r="H36" s="14" t="n"/>
      <c r="I36" s="14" t="n"/>
      <c r="J36" s="16" t="n"/>
      <c r="K36" s="16" t="n"/>
      <c r="L36" s="17" t="n"/>
      <c r="M36" s="10" t="n"/>
      <c r="N36" s="14" t="n"/>
      <c r="O36" s="14" t="n"/>
      <c r="P36" s="17" t="n"/>
      <c r="Q36" s="14" t="n"/>
      <c r="R36" s="17" t="n"/>
      <c r="S36" s="11">
        <f>IF(AND(M36&gt;0,P36&gt;0),M36-P36,"")</f>
        <v/>
      </c>
      <c r="T36" s="12">
        <f>IF(AND(L36&gt;0,P36&gt;0),(P36/L36)*100,"")</f>
        <v/>
      </c>
      <c r="U36" s="12">
        <f>IF(AND(L36&gt;0,R36&gt;0),(R36/L36)*100,"")</f>
        <v/>
      </c>
      <c r="V36" s="11">
        <f>IF(AND(J36&gt;0,L36&gt;0),(L36/(J36^3))*100,"")</f>
        <v/>
      </c>
      <c r="W36" s="18" t="n"/>
      <c r="X36" s="18" t="n"/>
      <c r="Y36" s="18" t="n"/>
      <c r="Z36" s="14" t="n"/>
      <c r="AA36" s="14" t="n"/>
      <c r="AB36" s="14" t="n"/>
      <c r="AC36" s="14" t="n"/>
      <c r="AD36" s="14" t="n"/>
      <c r="AE36" s="14" t="n"/>
    </row>
    <row r="37" ht="17" customHeight="1">
      <c r="A37" s="5" t="n"/>
      <c r="B37" s="6" t="inlineStr">
        <is>
          <t>LIPAN-5857</t>
        </is>
      </c>
      <c r="C37" s="7" t="n"/>
      <c r="D37" s="5" t="n"/>
      <c r="E37" s="5" t="n"/>
      <c r="F37" s="5" t="n"/>
      <c r="G37" s="5" t="n"/>
      <c r="H37" s="5" t="n"/>
      <c r="I37" s="5" t="n"/>
      <c r="J37" s="8" t="n"/>
      <c r="K37" s="8" t="n"/>
      <c r="L37" s="9" t="n"/>
      <c r="M37" s="10" t="n"/>
      <c r="N37" s="5" t="n"/>
      <c r="O37" s="5" t="n"/>
      <c r="P37" s="9" t="n"/>
      <c r="Q37" s="5" t="n"/>
      <c r="R37" s="9" t="n"/>
      <c r="S37" s="11">
        <f>IF(AND(M37&gt;0,P37&gt;0),M37-P37,"")</f>
        <v/>
      </c>
      <c r="T37" s="12">
        <f>IF(AND(L37&gt;0,P37&gt;0),(P37/L37)*100,"")</f>
        <v/>
      </c>
      <c r="U37" s="12">
        <f>IF(AND(L37&gt;0,R37&gt;0),(R37/L37)*100,"")</f>
        <v/>
      </c>
      <c r="V37" s="11">
        <f>IF(AND(J37&gt;0,L37&gt;0),(L37/(J37^3))*100,"")</f>
        <v/>
      </c>
      <c r="W37" s="13" t="n"/>
      <c r="X37" s="13" t="n"/>
      <c r="Y37" s="13" t="n"/>
      <c r="Z37" s="5" t="n"/>
      <c r="AA37" s="5" t="n"/>
      <c r="AB37" s="5" t="n"/>
      <c r="AC37" s="5" t="n"/>
      <c r="AD37" s="5" t="n"/>
      <c r="AE37" s="5" t="n"/>
    </row>
    <row r="38" ht="17" customHeight="1">
      <c r="A38" s="14" t="n"/>
      <c r="B38" s="6" t="inlineStr">
        <is>
          <t>LIPAN-5858</t>
        </is>
      </c>
      <c r="C38" s="15" t="n"/>
      <c r="D38" s="14" t="n"/>
      <c r="E38" s="14" t="n"/>
      <c r="F38" s="14" t="n"/>
      <c r="G38" s="14" t="n"/>
      <c r="H38" s="14" t="n"/>
      <c r="I38" s="14" t="n"/>
      <c r="J38" s="16" t="n"/>
      <c r="K38" s="16" t="n"/>
      <c r="L38" s="17" t="n"/>
      <c r="M38" s="10" t="n"/>
      <c r="N38" s="14" t="n"/>
      <c r="O38" s="14" t="n"/>
      <c r="P38" s="17" t="n"/>
      <c r="Q38" s="14" t="n"/>
      <c r="R38" s="17" t="n"/>
      <c r="S38" s="11">
        <f>IF(AND(M38&gt;0,P38&gt;0),M38-P38,"")</f>
        <v/>
      </c>
      <c r="T38" s="12">
        <f>IF(AND(L38&gt;0,P38&gt;0),(P38/L38)*100,"")</f>
        <v/>
      </c>
      <c r="U38" s="12">
        <f>IF(AND(L38&gt;0,R38&gt;0),(R38/L38)*100,"")</f>
        <v/>
      </c>
      <c r="V38" s="11">
        <f>IF(AND(J38&gt;0,L38&gt;0),(L38/(J38^3))*100,"")</f>
        <v/>
      </c>
      <c r="W38" s="18" t="n"/>
      <c r="X38" s="18" t="n"/>
      <c r="Y38" s="18" t="n"/>
      <c r="Z38" s="14" t="n"/>
      <c r="AA38" s="14" t="n"/>
      <c r="AB38" s="14" t="n"/>
      <c r="AC38" s="14" t="n"/>
      <c r="AD38" s="14" t="n"/>
      <c r="AE38" s="14" t="n"/>
    </row>
    <row r="39" ht="17" customHeight="1">
      <c r="A39" s="5" t="n"/>
      <c r="B39" s="6" t="inlineStr">
        <is>
          <t>LIPAN-5859</t>
        </is>
      </c>
      <c r="C39" s="7" t="n"/>
      <c r="D39" s="5" t="n"/>
      <c r="E39" s="5" t="n"/>
      <c r="F39" s="5" t="n"/>
      <c r="G39" s="5" t="n"/>
      <c r="H39" s="5" t="n"/>
      <c r="I39" s="5" t="n"/>
      <c r="J39" s="8" t="n"/>
      <c r="K39" s="8" t="n"/>
      <c r="L39" s="9" t="n"/>
      <c r="M39" s="10" t="n"/>
      <c r="N39" s="5" t="n"/>
      <c r="O39" s="5" t="n"/>
      <c r="P39" s="9" t="n"/>
      <c r="Q39" s="5" t="n"/>
      <c r="R39" s="9" t="n"/>
      <c r="S39" s="11">
        <f>IF(AND(M39&gt;0,P39&gt;0),M39-P39,"")</f>
        <v/>
      </c>
      <c r="T39" s="12">
        <f>IF(AND(L39&gt;0,P39&gt;0),(P39/L39)*100,"")</f>
        <v/>
      </c>
      <c r="U39" s="12">
        <f>IF(AND(L39&gt;0,R39&gt;0),(R39/L39)*100,"")</f>
        <v/>
      </c>
      <c r="V39" s="11">
        <f>IF(AND(J39&gt;0,L39&gt;0),(L39/(J39^3))*100,"")</f>
        <v/>
      </c>
      <c r="W39" s="13" t="n"/>
      <c r="X39" s="13" t="n"/>
      <c r="Y39" s="13" t="n"/>
      <c r="Z39" s="5" t="n"/>
      <c r="AA39" s="5" t="n"/>
      <c r="AB39" s="5" t="n"/>
      <c r="AC39" s="5" t="n"/>
      <c r="AD39" s="5" t="n"/>
      <c r="AE39" s="5" t="n"/>
    </row>
    <row r="40" ht="17" customHeight="1">
      <c r="A40" s="14" t="n"/>
      <c r="B40" s="6" t="inlineStr">
        <is>
          <t>LIPAN-5860</t>
        </is>
      </c>
      <c r="C40" s="15" t="n"/>
      <c r="D40" s="14" t="n"/>
      <c r="E40" s="14" t="n"/>
      <c r="F40" s="14" t="n"/>
      <c r="G40" s="14" t="n"/>
      <c r="H40" s="14" t="n"/>
      <c r="I40" s="14" t="n"/>
      <c r="J40" s="16" t="n"/>
      <c r="K40" s="16" t="n"/>
      <c r="L40" s="17" t="n"/>
      <c r="M40" s="10" t="n"/>
      <c r="N40" s="14" t="n"/>
      <c r="O40" s="14" t="n"/>
      <c r="P40" s="17" t="n"/>
      <c r="Q40" s="14" t="n"/>
      <c r="R40" s="17" t="n"/>
      <c r="S40" s="11">
        <f>IF(AND(M40&gt;0,P40&gt;0),M40-P40,"")</f>
        <v/>
      </c>
      <c r="T40" s="12">
        <f>IF(AND(L40&gt;0,P40&gt;0),(P40/L40)*100,"")</f>
        <v/>
      </c>
      <c r="U40" s="12">
        <f>IF(AND(L40&gt;0,R40&gt;0),(R40/L40)*100,"")</f>
        <v/>
      </c>
      <c r="V40" s="11">
        <f>IF(AND(J40&gt;0,L40&gt;0),(L40/(J40^3))*100,"")</f>
        <v/>
      </c>
      <c r="W40" s="18" t="n"/>
      <c r="X40" s="18" t="n"/>
      <c r="Y40" s="18" t="n"/>
      <c r="Z40" s="14" t="n"/>
      <c r="AA40" s="14" t="n"/>
      <c r="AB40" s="14" t="n"/>
      <c r="AC40" s="14" t="n"/>
      <c r="AD40" s="14" t="n"/>
      <c r="AE40" s="14" t="n"/>
    </row>
    <row r="41" ht="17" customHeight="1">
      <c r="A41" s="5" t="n"/>
      <c r="B41" s="6" t="inlineStr">
        <is>
          <t>LIPAN-5861</t>
        </is>
      </c>
      <c r="C41" s="7" t="n"/>
      <c r="D41" s="5" t="n"/>
      <c r="E41" s="5" t="n"/>
      <c r="F41" s="5" t="n"/>
      <c r="G41" s="5" t="n"/>
      <c r="H41" s="5" t="n"/>
      <c r="I41" s="5" t="n"/>
      <c r="J41" s="8" t="n"/>
      <c r="K41" s="8" t="n"/>
      <c r="L41" s="9" t="n"/>
      <c r="M41" s="10" t="n"/>
      <c r="N41" s="5" t="n"/>
      <c r="O41" s="5" t="n"/>
      <c r="P41" s="9" t="n"/>
      <c r="Q41" s="5" t="n"/>
      <c r="R41" s="9" t="n"/>
      <c r="S41" s="11">
        <f>IF(AND(M41&gt;0,P41&gt;0),M41-P41,"")</f>
        <v/>
      </c>
      <c r="T41" s="12">
        <f>IF(AND(L41&gt;0,P41&gt;0),(P41/L41)*100,"")</f>
        <v/>
      </c>
      <c r="U41" s="12">
        <f>IF(AND(L41&gt;0,R41&gt;0),(R41/L41)*100,"")</f>
        <v/>
      </c>
      <c r="V41" s="11">
        <f>IF(AND(J41&gt;0,L41&gt;0),(L41/(J41^3))*100,"")</f>
        <v/>
      </c>
      <c r="W41" s="13" t="n"/>
      <c r="X41" s="13" t="n"/>
      <c r="Y41" s="13" t="n"/>
      <c r="Z41" s="5" t="n"/>
      <c r="AA41" s="5" t="n"/>
      <c r="AB41" s="5" t="n"/>
      <c r="AC41" s="5" t="n"/>
      <c r="AD41" s="5" t="n"/>
      <c r="AE41" s="5" t="n"/>
    </row>
    <row r="42" ht="17" customHeight="1">
      <c r="A42" s="14" t="n"/>
      <c r="B42" s="6" t="inlineStr">
        <is>
          <t>LIPAN-5862</t>
        </is>
      </c>
      <c r="C42" s="15" t="n"/>
      <c r="D42" s="14" t="n"/>
      <c r="E42" s="14" t="n"/>
      <c r="F42" s="14" t="n"/>
      <c r="G42" s="14" t="n"/>
      <c r="H42" s="14" t="n"/>
      <c r="I42" s="14" t="n"/>
      <c r="J42" s="16" t="n"/>
      <c r="K42" s="16" t="n"/>
      <c r="L42" s="17" t="n"/>
      <c r="M42" s="10" t="n"/>
      <c r="N42" s="14" t="n"/>
      <c r="O42" s="14" t="n"/>
      <c r="P42" s="17" t="n"/>
      <c r="Q42" s="14" t="n"/>
      <c r="R42" s="17" t="n"/>
      <c r="S42" s="11">
        <f>IF(AND(M42&gt;0,P42&gt;0),M42-P42,"")</f>
        <v/>
      </c>
      <c r="T42" s="12">
        <f>IF(AND(L42&gt;0,P42&gt;0),(P42/L42)*100,"")</f>
        <v/>
      </c>
      <c r="U42" s="12">
        <f>IF(AND(L42&gt;0,R42&gt;0),(R42/L42)*100,"")</f>
        <v/>
      </c>
      <c r="V42" s="11">
        <f>IF(AND(J42&gt;0,L42&gt;0),(L42/(J42^3))*100,"")</f>
        <v/>
      </c>
      <c r="W42" s="18" t="n"/>
      <c r="X42" s="18" t="n"/>
      <c r="Y42" s="18" t="n"/>
      <c r="Z42" s="14" t="n"/>
      <c r="AA42" s="14" t="n"/>
      <c r="AB42" s="14" t="n"/>
      <c r="AC42" s="14" t="n"/>
      <c r="AD42" s="14" t="n"/>
      <c r="AE42" s="14" t="n"/>
    </row>
    <row r="43" ht="17" customHeight="1">
      <c r="A43" s="5" t="n"/>
      <c r="B43" s="6" t="inlineStr">
        <is>
          <t>LIPAN-5863</t>
        </is>
      </c>
      <c r="C43" s="7" t="n"/>
      <c r="D43" s="5" t="n"/>
      <c r="E43" s="5" t="n"/>
      <c r="F43" s="5" t="n"/>
      <c r="G43" s="5" t="n"/>
      <c r="H43" s="5" t="n"/>
      <c r="I43" s="5" t="n"/>
      <c r="J43" s="8" t="n"/>
      <c r="K43" s="8" t="n"/>
      <c r="L43" s="9" t="n"/>
      <c r="M43" s="10" t="n"/>
      <c r="N43" s="5" t="n"/>
      <c r="O43" s="5" t="n"/>
      <c r="P43" s="9" t="n"/>
      <c r="Q43" s="5" t="n"/>
      <c r="R43" s="9" t="n"/>
      <c r="S43" s="11">
        <f>IF(AND(M43&gt;0,P43&gt;0),M43-P43,"")</f>
        <v/>
      </c>
      <c r="T43" s="12">
        <f>IF(AND(L43&gt;0,P43&gt;0),(P43/L43)*100,"")</f>
        <v/>
      </c>
      <c r="U43" s="12">
        <f>IF(AND(L43&gt;0,R43&gt;0),(R43/L43)*100,"")</f>
        <v/>
      </c>
      <c r="V43" s="11">
        <f>IF(AND(J43&gt;0,L43&gt;0),(L43/(J43^3))*100,"")</f>
        <v/>
      </c>
      <c r="W43" s="13" t="n"/>
      <c r="X43" s="13" t="n"/>
      <c r="Y43" s="13" t="n"/>
      <c r="Z43" s="5" t="n"/>
      <c r="AA43" s="5" t="n"/>
      <c r="AB43" s="5" t="n"/>
      <c r="AC43" s="5" t="n"/>
      <c r="AD43" s="5" t="n"/>
      <c r="AE43" s="5" t="n"/>
    </row>
    <row r="44" ht="17" customHeight="1">
      <c r="A44" s="14" t="n"/>
      <c r="B44" s="6" t="inlineStr">
        <is>
          <t>LIPAN-5864</t>
        </is>
      </c>
      <c r="C44" s="15" t="n"/>
      <c r="D44" s="14" t="n"/>
      <c r="E44" s="14" t="n"/>
      <c r="F44" s="14" t="n"/>
      <c r="G44" s="14" t="n"/>
      <c r="H44" s="14" t="n"/>
      <c r="I44" s="14" t="n"/>
      <c r="J44" s="16" t="n"/>
      <c r="K44" s="16" t="n"/>
      <c r="L44" s="17" t="n"/>
      <c r="M44" s="10" t="n"/>
      <c r="N44" s="14" t="n"/>
      <c r="O44" s="14" t="n"/>
      <c r="P44" s="17" t="n"/>
      <c r="Q44" s="14" t="n"/>
      <c r="R44" s="17" t="n"/>
      <c r="S44" s="11">
        <f>IF(AND(M44&gt;0,P44&gt;0),M44-P44,"")</f>
        <v/>
      </c>
      <c r="T44" s="12">
        <f>IF(AND(L44&gt;0,P44&gt;0),(P44/L44)*100,"")</f>
        <v/>
      </c>
      <c r="U44" s="12">
        <f>IF(AND(L44&gt;0,R44&gt;0),(R44/L44)*100,"")</f>
        <v/>
      </c>
      <c r="V44" s="11">
        <f>IF(AND(J44&gt;0,L44&gt;0),(L44/(J44^3))*100,"")</f>
        <v/>
      </c>
      <c r="W44" s="18" t="n"/>
      <c r="X44" s="18" t="n"/>
      <c r="Y44" s="18" t="n"/>
      <c r="Z44" s="14" t="n"/>
      <c r="AA44" s="14" t="n"/>
      <c r="AB44" s="14" t="n"/>
      <c r="AC44" s="14" t="n"/>
      <c r="AD44" s="14" t="n"/>
      <c r="AE44" s="14" t="n"/>
    </row>
    <row r="45" ht="17" customHeight="1">
      <c r="A45" s="5" t="n"/>
      <c r="B45" s="6" t="inlineStr">
        <is>
          <t>LIPAN-5865</t>
        </is>
      </c>
      <c r="C45" s="7" t="n"/>
      <c r="D45" s="5" t="n"/>
      <c r="E45" s="5" t="n"/>
      <c r="F45" s="5" t="n"/>
      <c r="G45" s="5" t="n"/>
      <c r="H45" s="5" t="n"/>
      <c r="I45" s="5" t="n"/>
      <c r="J45" s="8" t="n"/>
      <c r="K45" s="8" t="n"/>
      <c r="L45" s="9" t="n"/>
      <c r="M45" s="10" t="n"/>
      <c r="N45" s="5" t="n"/>
      <c r="O45" s="5" t="n"/>
      <c r="P45" s="9" t="n"/>
      <c r="Q45" s="5" t="n"/>
      <c r="R45" s="9" t="n"/>
      <c r="S45" s="11">
        <f>IF(AND(M45&gt;0,P45&gt;0),M45-P45,"")</f>
        <v/>
      </c>
      <c r="T45" s="12">
        <f>IF(AND(L45&gt;0,P45&gt;0),(P45/L45)*100,"")</f>
        <v/>
      </c>
      <c r="U45" s="12">
        <f>IF(AND(L45&gt;0,R45&gt;0),(R45/L45)*100,"")</f>
        <v/>
      </c>
      <c r="V45" s="11">
        <f>IF(AND(J45&gt;0,L45&gt;0),(L45/(J45^3))*100,"")</f>
        <v/>
      </c>
      <c r="W45" s="13" t="n"/>
      <c r="X45" s="13" t="n"/>
      <c r="Y45" s="13" t="n"/>
      <c r="Z45" s="5" t="n"/>
      <c r="AA45" s="5" t="n"/>
      <c r="AB45" s="5" t="n"/>
      <c r="AC45" s="5" t="n"/>
      <c r="AD45" s="5" t="n"/>
      <c r="AE45" s="5" t="n"/>
    </row>
    <row r="46" ht="17" customHeight="1">
      <c r="A46" s="14" t="n"/>
      <c r="B46" s="6" t="inlineStr">
        <is>
          <t>LIPAN-5866</t>
        </is>
      </c>
      <c r="C46" s="15" t="n"/>
      <c r="D46" s="14" t="n"/>
      <c r="E46" s="14" t="n"/>
      <c r="F46" s="14" t="n"/>
      <c r="G46" s="14" t="n"/>
      <c r="H46" s="14" t="n"/>
      <c r="I46" s="14" t="n"/>
      <c r="J46" s="16" t="n"/>
      <c r="K46" s="16" t="n"/>
      <c r="L46" s="17" t="n"/>
      <c r="M46" s="10" t="n"/>
      <c r="N46" s="14" t="n"/>
      <c r="O46" s="14" t="n"/>
      <c r="P46" s="17" t="n"/>
      <c r="Q46" s="14" t="n"/>
      <c r="R46" s="17" t="n"/>
      <c r="S46" s="11">
        <f>IF(AND(M46&gt;0,P46&gt;0),M46-P46,"")</f>
        <v/>
      </c>
      <c r="T46" s="12">
        <f>IF(AND(L46&gt;0,P46&gt;0),(P46/L46)*100,"")</f>
        <v/>
      </c>
      <c r="U46" s="12">
        <f>IF(AND(L46&gt;0,R46&gt;0),(R46/L46)*100,"")</f>
        <v/>
      </c>
      <c r="V46" s="11">
        <f>IF(AND(J46&gt;0,L46&gt;0),(L46/(J46^3))*100,"")</f>
        <v/>
      </c>
      <c r="W46" s="18" t="n"/>
      <c r="X46" s="18" t="n"/>
      <c r="Y46" s="18" t="n"/>
      <c r="Z46" s="14" t="n"/>
      <c r="AA46" s="14" t="n"/>
      <c r="AB46" s="14" t="n"/>
      <c r="AC46" s="14" t="n"/>
      <c r="AD46" s="14" t="n"/>
      <c r="AE46" s="14" t="n"/>
    </row>
    <row r="47" ht="17" customHeight="1">
      <c r="A47" s="5" t="n"/>
      <c r="B47" s="6" t="inlineStr">
        <is>
          <t>LIPAN-5867</t>
        </is>
      </c>
      <c r="C47" s="7" t="n"/>
      <c r="D47" s="5" t="n"/>
      <c r="E47" s="5" t="n"/>
      <c r="F47" s="5" t="n"/>
      <c r="G47" s="5" t="n"/>
      <c r="H47" s="5" t="n"/>
      <c r="I47" s="5" t="n"/>
      <c r="J47" s="8" t="n"/>
      <c r="K47" s="8" t="n"/>
      <c r="L47" s="9" t="n"/>
      <c r="M47" s="10" t="n"/>
      <c r="N47" s="5" t="n"/>
      <c r="O47" s="5" t="n"/>
      <c r="P47" s="9" t="n"/>
      <c r="Q47" s="5" t="n"/>
      <c r="R47" s="9" t="n"/>
      <c r="S47" s="11">
        <f>IF(AND(M47&gt;0,P47&gt;0),M47-P47,"")</f>
        <v/>
      </c>
      <c r="T47" s="12">
        <f>IF(AND(L47&gt;0,P47&gt;0),(P47/L47)*100,"")</f>
        <v/>
      </c>
      <c r="U47" s="12">
        <f>IF(AND(L47&gt;0,R47&gt;0),(R47/L47)*100,"")</f>
        <v/>
      </c>
      <c r="V47" s="11">
        <f>IF(AND(J47&gt;0,L47&gt;0),(L47/(J47^3))*100,"")</f>
        <v/>
      </c>
      <c r="W47" s="13" t="n"/>
      <c r="X47" s="13" t="n"/>
      <c r="Y47" s="13" t="n"/>
      <c r="Z47" s="5" t="n"/>
      <c r="AA47" s="5" t="n"/>
      <c r="AB47" s="5" t="n"/>
      <c r="AC47" s="5" t="n"/>
      <c r="AD47" s="5" t="n"/>
      <c r="AE47" s="5" t="n"/>
    </row>
    <row r="48" ht="17" customHeight="1">
      <c r="A48" s="14" t="n"/>
      <c r="B48" s="6" t="inlineStr">
        <is>
          <t>LIPAN-5868</t>
        </is>
      </c>
      <c r="C48" s="15" t="n"/>
      <c r="D48" s="14" t="n"/>
      <c r="E48" s="14" t="n"/>
      <c r="F48" s="14" t="n"/>
      <c r="G48" s="14" t="n"/>
      <c r="H48" s="14" t="n"/>
      <c r="I48" s="14" t="n"/>
      <c r="J48" s="16" t="n"/>
      <c r="K48" s="16" t="n"/>
      <c r="L48" s="17" t="n"/>
      <c r="M48" s="10" t="n"/>
      <c r="N48" s="14" t="n"/>
      <c r="O48" s="14" t="n"/>
      <c r="P48" s="17" t="n"/>
      <c r="Q48" s="14" t="n"/>
      <c r="R48" s="17" t="n"/>
      <c r="S48" s="11">
        <f>IF(AND(M48&gt;0,P48&gt;0),M48-P48,"")</f>
        <v/>
      </c>
      <c r="T48" s="12">
        <f>IF(AND(L48&gt;0,P48&gt;0),(P48/L48)*100,"")</f>
        <v/>
      </c>
      <c r="U48" s="12">
        <f>IF(AND(L48&gt;0,R48&gt;0),(R48/L48)*100,"")</f>
        <v/>
      </c>
      <c r="V48" s="11">
        <f>IF(AND(J48&gt;0,L48&gt;0),(L48/(J48^3))*100,"")</f>
        <v/>
      </c>
      <c r="W48" s="18" t="n"/>
      <c r="X48" s="18" t="n"/>
      <c r="Y48" s="18" t="n"/>
      <c r="Z48" s="14" t="n"/>
      <c r="AA48" s="14" t="n"/>
      <c r="AB48" s="14" t="n"/>
      <c r="AC48" s="14" t="n"/>
      <c r="AD48" s="14" t="n"/>
      <c r="AE48" s="14" t="n"/>
    </row>
    <row r="49" ht="17" customHeight="1">
      <c r="A49" s="5" t="n"/>
      <c r="B49" s="6" t="inlineStr">
        <is>
          <t>LIPAN-5869</t>
        </is>
      </c>
      <c r="C49" s="7" t="n"/>
      <c r="D49" s="5" t="n"/>
      <c r="E49" s="5" t="n"/>
      <c r="F49" s="5" t="n"/>
      <c r="G49" s="5" t="n"/>
      <c r="H49" s="5" t="n"/>
      <c r="I49" s="5" t="n"/>
      <c r="J49" s="8" t="n"/>
      <c r="K49" s="8" t="n"/>
      <c r="L49" s="9" t="n"/>
      <c r="M49" s="10" t="n"/>
      <c r="N49" s="5" t="n"/>
      <c r="O49" s="5" t="n"/>
      <c r="P49" s="9" t="n"/>
      <c r="Q49" s="5" t="n"/>
      <c r="R49" s="9" t="n"/>
      <c r="S49" s="11">
        <f>IF(AND(M49&gt;0,P49&gt;0),M49-P49,"")</f>
        <v/>
      </c>
      <c r="T49" s="12">
        <f>IF(AND(L49&gt;0,P49&gt;0),(P49/L49)*100,"")</f>
        <v/>
      </c>
      <c r="U49" s="12">
        <f>IF(AND(L49&gt;0,R49&gt;0),(R49/L49)*100,"")</f>
        <v/>
      </c>
      <c r="V49" s="11">
        <f>IF(AND(J49&gt;0,L49&gt;0),(L49/(J49^3))*100,"")</f>
        <v/>
      </c>
      <c r="W49" s="13" t="n"/>
      <c r="X49" s="13" t="n"/>
      <c r="Y49" s="13" t="n"/>
      <c r="Z49" s="5" t="n"/>
      <c r="AA49" s="5" t="n"/>
      <c r="AB49" s="5" t="n"/>
      <c r="AC49" s="5" t="n"/>
      <c r="AD49" s="5" t="n"/>
      <c r="AE49" s="5" t="n"/>
    </row>
    <row r="50" ht="17" customHeight="1">
      <c r="A50" s="14" t="n"/>
      <c r="B50" s="6" t="inlineStr">
        <is>
          <t>LIPAN-5870</t>
        </is>
      </c>
      <c r="C50" s="15" t="n"/>
      <c r="D50" s="14" t="n"/>
      <c r="E50" s="14" t="n"/>
      <c r="F50" s="14" t="n"/>
      <c r="G50" s="14" t="n"/>
      <c r="H50" s="14" t="n"/>
      <c r="I50" s="14" t="n"/>
      <c r="J50" s="16" t="n"/>
      <c r="K50" s="16" t="n"/>
      <c r="L50" s="17" t="n"/>
      <c r="M50" s="10" t="n"/>
      <c r="N50" s="14" t="n"/>
      <c r="O50" s="14" t="n"/>
      <c r="P50" s="17" t="n"/>
      <c r="Q50" s="14" t="n"/>
      <c r="R50" s="17" t="n"/>
      <c r="S50" s="11">
        <f>IF(AND(M50&gt;0,P50&gt;0),M50-P50,"")</f>
        <v/>
      </c>
      <c r="T50" s="12">
        <f>IF(AND(L50&gt;0,P50&gt;0),(P50/L50)*100,"")</f>
        <v/>
      </c>
      <c r="U50" s="12">
        <f>IF(AND(L50&gt;0,R50&gt;0),(R50/L50)*100,"")</f>
        <v/>
      </c>
      <c r="V50" s="11">
        <f>IF(AND(J50&gt;0,L50&gt;0),(L50/(J50^3))*100,"")</f>
        <v/>
      </c>
      <c r="W50" s="18" t="n"/>
      <c r="X50" s="18" t="n"/>
      <c r="Y50" s="18" t="n"/>
      <c r="Z50" s="14" t="n"/>
      <c r="AA50" s="14" t="n"/>
      <c r="AB50" s="14" t="n"/>
      <c r="AC50" s="14" t="n"/>
      <c r="AD50" s="14" t="n"/>
      <c r="AE50" s="14" t="n"/>
    </row>
    <row r="51" ht="17" customHeight="1">
      <c r="A51" s="5" t="n"/>
      <c r="B51" s="6" t="inlineStr">
        <is>
          <t>LIPAN-5871</t>
        </is>
      </c>
      <c r="C51" s="7" t="n"/>
      <c r="D51" s="5" t="n"/>
      <c r="E51" s="5" t="n"/>
      <c r="F51" s="5" t="n"/>
      <c r="G51" s="5" t="n"/>
      <c r="H51" s="5" t="n"/>
      <c r="I51" s="5" t="n"/>
      <c r="J51" s="8" t="n"/>
      <c r="K51" s="8" t="n"/>
      <c r="L51" s="9" t="n"/>
      <c r="M51" s="10" t="n"/>
      <c r="N51" s="5" t="n"/>
      <c r="O51" s="5" t="n"/>
      <c r="P51" s="9" t="n"/>
      <c r="Q51" s="5" t="n"/>
      <c r="R51" s="9" t="n"/>
      <c r="S51" s="11">
        <f>IF(AND(M51&gt;0,P51&gt;0),M51-P51,"")</f>
        <v/>
      </c>
      <c r="T51" s="12">
        <f>IF(AND(L51&gt;0,P51&gt;0),(P51/L51)*100,"")</f>
        <v/>
      </c>
      <c r="U51" s="12">
        <f>IF(AND(L51&gt;0,R51&gt;0),(R51/L51)*100,"")</f>
        <v/>
      </c>
      <c r="V51" s="11">
        <f>IF(AND(J51&gt;0,L51&gt;0),(L51/(J51^3))*100,"")</f>
        <v/>
      </c>
      <c r="W51" s="13" t="n"/>
      <c r="X51" s="13" t="n"/>
      <c r="Y51" s="13" t="n"/>
      <c r="Z51" s="5" t="n"/>
      <c r="AA51" s="5" t="n"/>
      <c r="AB51" s="5" t="n"/>
      <c r="AC51" s="5" t="n"/>
      <c r="AD51" s="5" t="n"/>
      <c r="AE51" s="5" t="n"/>
    </row>
    <row r="52" ht="17" customHeight="1">
      <c r="A52" s="14" t="n"/>
      <c r="B52" s="6" t="inlineStr">
        <is>
          <t>LIPAN-5872</t>
        </is>
      </c>
      <c r="C52" s="15" t="n"/>
      <c r="D52" s="14" t="n"/>
      <c r="E52" s="14" t="n"/>
      <c r="F52" s="14" t="n"/>
      <c r="G52" s="14" t="n"/>
      <c r="H52" s="14" t="n"/>
      <c r="I52" s="14" t="n"/>
      <c r="J52" s="16" t="n"/>
      <c r="K52" s="16" t="n"/>
      <c r="L52" s="17" t="n"/>
      <c r="M52" s="10" t="n"/>
      <c r="N52" s="14" t="n"/>
      <c r="O52" s="14" t="n"/>
      <c r="P52" s="17" t="n"/>
      <c r="Q52" s="14" t="n"/>
      <c r="R52" s="17" t="n"/>
      <c r="S52" s="11">
        <f>IF(AND(M52&gt;0,P52&gt;0),M52-P52,"")</f>
        <v/>
      </c>
      <c r="T52" s="12">
        <f>IF(AND(L52&gt;0,P52&gt;0),(P52/L52)*100,"")</f>
        <v/>
      </c>
      <c r="U52" s="12">
        <f>IF(AND(L52&gt;0,R52&gt;0),(R52/L52)*100,"")</f>
        <v/>
      </c>
      <c r="V52" s="11">
        <f>IF(AND(J52&gt;0,L52&gt;0),(L52/(J52^3))*100,"")</f>
        <v/>
      </c>
      <c r="W52" s="18" t="n"/>
      <c r="X52" s="18" t="n"/>
      <c r="Y52" s="18" t="n"/>
      <c r="Z52" s="14" t="n"/>
      <c r="AA52" s="14" t="n"/>
      <c r="AB52" s="14" t="n"/>
      <c r="AC52" s="14" t="n"/>
      <c r="AD52" s="14" t="n"/>
      <c r="AE52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2026-05-27T14:41:21Z</dcterms:created>
  <dcterms:modified xmlns:dcterms="http://purl.org/dc/terms/" xmlns:xsi="http://www.w3.org/2001/XMLSchema-instance" xsi:type="dcterms:W3CDTF">2026-05-27T18:52:46Z</dcterms:modified>
</cp:coreProperties>
</file>