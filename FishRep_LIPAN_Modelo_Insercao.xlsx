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erir_Dados" sheetId="1" state="visible" r:id="rId1"/>
    <sheet xmlns:r="http://schemas.openxmlformats.org/officeDocument/2006/relationships" name="Legenda_Completa" sheetId="2" state="visible" r:id="rId2"/>
    <sheet xmlns:r="http://schemas.openxmlformats.org/officeDocument/2006/relationships" name="Razoes_PE_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E3A5F"/>
      <sz val="11"/>
    </font>
    <font>
      <name val="Arial"/>
      <color rgb="00374151"/>
      <sz val="9"/>
    </font>
    <font>
      <name val="Arial"/>
      <b val="1"/>
      <color rgb="001E3A5F"/>
      <sz val="9"/>
    </font>
    <font>
      <name val="Arial"/>
      <b val="1"/>
      <color rgb="001E3A5F"/>
      <sz val="8"/>
    </font>
    <font>
      <name val="Arial"/>
      <b val="1"/>
      <color rgb="005D4037"/>
      <sz val="8"/>
    </font>
    <font>
      <name val="Arial"/>
      <b val="1"/>
      <color rgb="005B21B6"/>
      <sz val="8"/>
    </font>
    <font>
      <name val="Arial"/>
      <b val="1"/>
      <color rgb="00065F46"/>
      <sz val="8"/>
    </font>
    <font>
      <name val="Arial"/>
      <b val="1"/>
      <color rgb="00FFFFFF"/>
      <sz val="10"/>
    </font>
    <font>
      <name val="Arial"/>
      <i val="1"/>
      <color rgb="00D1FAE5"/>
      <sz val="7"/>
    </font>
    <font>
      <name val="Arial"/>
      <b val="1"/>
      <color rgb="00FFFFFF"/>
      <sz val="9"/>
    </font>
    <font>
      <name val="Arial"/>
      <b val="1"/>
      <color rgb="00FFF9C4"/>
      <sz val="9"/>
    </font>
    <font>
      <name val="Arial"/>
      <color rgb="001E3A5F"/>
      <sz val="10"/>
    </font>
    <font>
      <name val="Arial"/>
      <b val="1"/>
      <color rgb="00065F46"/>
      <sz val="10"/>
    </font>
    <font>
      <name val="Arial"/>
      <color rgb="005B21B6"/>
      <sz val="10"/>
    </font>
    <font>
      <name val="Arial"/>
      <i val="1"/>
      <color rgb="005D4037"/>
      <sz val="10"/>
    </font>
    <font>
      <name val="Arial"/>
      <color rgb="00065F46"/>
      <sz val="10"/>
    </font>
    <font>
      <name val="Arial"/>
      <b val="1"/>
      <color rgb="00FFFFFF"/>
      <sz val="12"/>
    </font>
    <font>
      <name val="Arial"/>
      <sz val="9"/>
    </font>
    <font>
      <name val="Arial"/>
      <b val="1"/>
      <color rgb="00FFFFFF"/>
      <sz val="11"/>
    </font>
    <font>
      <name val="Arial"/>
      <b val="1"/>
      <color rgb="005B21B6"/>
      <sz val="9"/>
    </font>
    <font>
      <name val="Arial"/>
      <b val="1"/>
      <color rgb="00B91C1C"/>
      <sz val="9"/>
    </font>
  </fonts>
  <fills count="17">
    <fill>
      <patternFill/>
    </fill>
    <fill>
      <patternFill patternType="gray125"/>
    </fill>
    <fill>
      <patternFill patternType="solid">
        <fgColor rgb="000077B6"/>
      </patternFill>
    </fill>
    <fill>
      <patternFill patternType="solid">
        <fgColor rgb="00FFFFFF"/>
      </patternFill>
    </fill>
    <fill>
      <patternFill patternType="solid">
        <fgColor rgb="00FFF9C4"/>
      </patternFill>
    </fill>
    <fill>
      <patternFill patternType="solid">
        <fgColor rgb="00F0E6FF"/>
      </patternFill>
    </fill>
    <fill>
      <patternFill patternType="solid">
        <fgColor rgb="00D1FAE5"/>
      </patternFill>
    </fill>
    <fill>
      <patternFill patternType="solid">
        <fgColor rgb="001E3A5F"/>
      </patternFill>
    </fill>
    <fill>
      <patternFill patternType="solid">
        <fgColor rgb="00374151"/>
      </patternFill>
    </fill>
    <fill>
      <patternFill patternType="solid">
        <fgColor rgb="005B21B6"/>
      </patternFill>
    </fill>
    <fill>
      <patternFill patternType="solid">
        <fgColor rgb="005D4037"/>
      </patternFill>
    </fill>
    <fill>
      <patternFill patternType="solid">
        <fgColor rgb="00065F46"/>
      </patternFill>
    </fill>
    <fill>
      <patternFill patternType="solid">
        <fgColor rgb="00F0FDF4"/>
      </patternFill>
    </fill>
    <fill>
      <patternFill patternType="solid">
        <fgColor rgb="00F5F3FF"/>
      </patternFill>
    </fill>
    <fill>
      <patternFill patternType="solid">
        <fgColor rgb="00ECFDF5"/>
      </patternFill>
    </fill>
    <fill>
      <patternFill patternType="solid">
        <fgColor rgb="00F8FAFC"/>
      </patternFill>
    </fill>
    <fill>
      <patternFill patternType="solid">
        <fgColor rgb="00F0F9FF"/>
      </patternFill>
    </fill>
  </fills>
  <borders count="2">
    <border>
      <left/>
      <right/>
      <top/>
      <bottom/>
      <diagonal/>
    </border>
    <border>
      <left style="thin">
        <color rgb="00BFDBFE"/>
      </left>
      <right style="thin">
        <color rgb="00BFDBFE"/>
      </right>
      <bottom style="thin">
        <color rgb="00BFDBF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8" fillId="6" borderId="0" applyAlignment="1" pivotButton="0" quotePrefix="0" xfId="0">
      <alignment horizontal="center"/>
    </xf>
    <xf numFmtId="0" fontId="9" fillId="7" borderId="0" applyAlignment="1" pivotButton="0" quotePrefix="0" xfId="0">
      <alignment horizontal="center" vertical="center" wrapText="1"/>
    </xf>
    <xf numFmtId="0" fontId="11" fillId="9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13" fillId="3" borderId="1" pivotButton="0" quotePrefix="0" xfId="0"/>
    <xf numFmtId="0" fontId="14" fillId="12" borderId="1" pivotButton="0" quotePrefix="0" xfId="0"/>
    <xf numFmtId="1" fontId="13" fillId="3" borderId="1" pivotButton="0" quotePrefix="0" xfId="0"/>
    <xf numFmtId="164" fontId="13" fillId="3" borderId="1" pivotButton="0" quotePrefix="0" xfId="0"/>
    <xf numFmtId="2" fontId="13" fillId="3" borderId="1" pivotButton="0" quotePrefix="0" xfId="0"/>
    <xf numFmtId="0" fontId="15" fillId="13" borderId="1" applyAlignment="1" pivotButton="0" quotePrefix="0" xfId="0">
      <alignment horizontal="center"/>
    </xf>
    <xf numFmtId="2" fontId="16" fillId="4" borderId="1" pivotButton="0" quotePrefix="0" xfId="0"/>
    <xf numFmtId="165" fontId="16" fillId="4" borderId="1" pivotButton="0" quotePrefix="0" xfId="0"/>
    <xf numFmtId="0" fontId="17" fillId="14" borderId="1" pivotButton="0" quotePrefix="0" xfId="0"/>
    <xf numFmtId="0" fontId="13" fillId="15" borderId="1" pivotButton="0" quotePrefix="0" xfId="0"/>
    <xf numFmtId="1" fontId="13" fillId="15" borderId="1" pivotButton="0" quotePrefix="0" xfId="0"/>
    <xf numFmtId="164" fontId="13" fillId="15" borderId="1" pivotButton="0" quotePrefix="0" xfId="0"/>
    <xf numFmtId="2" fontId="13" fillId="15" borderId="1" pivotButton="0" quotePrefix="0" xfId="0"/>
    <xf numFmtId="0" fontId="17" fillId="12" borderId="1" pivotButton="0" quotePrefix="0" xfId="0"/>
    <xf numFmtId="0" fontId="18" fillId="7" borderId="0" applyAlignment="1" pivotButton="0" quotePrefix="0" xfId="0">
      <alignment horizontal="center"/>
    </xf>
    <xf numFmtId="0" fontId="11" fillId="2" borderId="0" applyAlignment="1" pivotButton="0" quotePrefix="0" xfId="0">
      <alignment horizontal="center"/>
    </xf>
    <xf numFmtId="0" fontId="4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9" fillId="0" borderId="0" applyAlignment="1" pivotButton="0" quotePrefix="0" xfId="0">
      <alignment horizontal="center" vertical="top"/>
    </xf>
    <xf numFmtId="0" fontId="19" fillId="0" borderId="0" applyAlignment="1" pivotButton="0" quotePrefix="0" xfId="0">
      <alignment vertical="top" wrapText="1"/>
    </xf>
    <xf numFmtId="0" fontId="4" fillId="16" borderId="0" applyAlignment="1" pivotButton="0" quotePrefix="0" xfId="0">
      <alignment vertical="top"/>
    </xf>
    <xf numFmtId="0" fontId="19" fillId="16" borderId="0" applyAlignment="1" pivotButton="0" quotePrefix="0" xfId="0">
      <alignment vertical="top"/>
    </xf>
    <xf numFmtId="0" fontId="19" fillId="16" borderId="0" applyAlignment="1" pivotButton="0" quotePrefix="0" xfId="0">
      <alignment horizontal="center" vertical="top"/>
    </xf>
    <xf numFmtId="0" fontId="19" fillId="16" borderId="0" applyAlignment="1" pivotButton="0" quotePrefix="0" xfId="0">
      <alignment vertical="top" wrapText="1"/>
    </xf>
    <xf numFmtId="0" fontId="20" fillId="9" borderId="0" applyAlignment="1" pivotButton="0" quotePrefix="0" xfId="0">
      <alignment horizontal="center"/>
    </xf>
    <xf numFmtId="0" fontId="11" fillId="7" borderId="0" applyAlignment="1" pivotButton="0" quotePrefix="0" xfId="0">
      <alignment horizontal="center"/>
    </xf>
    <xf numFmtId="0" fontId="19" fillId="0" borderId="0" pivotButton="0" quotePrefix="0" xfId="0"/>
    <xf numFmtId="0" fontId="21" fillId="0" borderId="0" pivotButton="0" quotePrefix="0" xfId="0"/>
    <xf numFmtId="0" fontId="19" fillId="13" borderId="0" pivotButton="0" quotePrefix="0" xfId="0"/>
    <xf numFmtId="0" fontId="21" fillId="13" borderId="0" pivotButton="0" quotePrefix="0" xfId="0"/>
    <xf numFmtId="0" fontId="22" fillId="0" borderId="0" pivotButton="0" quotePrefix="0" xfId="0"/>
    <xf numFmtId="0" fontId="22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0" customWidth="1" min="4" max="4"/>
    <col width="9" customWidth="1" min="5" max="5"/>
    <col width="18" customWidth="1" min="6" max="6"/>
    <col width="22" customWidth="1" min="7" max="7"/>
    <col width="14" customWidth="1" min="8" max="8"/>
    <col width="26" customWidth="1" min="9" max="9"/>
    <col width="6" customWidth="1" min="10" max="10"/>
    <col width="6" customWidth="1" min="11" max="11"/>
    <col width="10" customWidth="1" min="12" max="12"/>
    <col width="11" customWidth="1" min="13" max="13"/>
    <col width="6" customWidth="1" min="14" max="14"/>
    <col width="5" customWidth="1" min="15" max="15"/>
    <col width="9" customWidth="1" min="16" max="16"/>
    <col width="10" customWidth="1" min="17" max="17"/>
    <col width="5" customWidth="1" min="18" max="18"/>
    <col width="12" customWidth="1" min="19" max="19"/>
    <col width="9" customWidth="1" min="20" max="20"/>
    <col width="7" customWidth="1" min="21" max="21"/>
    <col width="7" customWidth="1" min="22" max="22"/>
    <col width="8" customWidth="1" min="23" max="23"/>
    <col width="14" customWidth="1" min="24" max="24"/>
    <col width="12" customWidth="1" min="25" max="25"/>
    <col width="12" customWidth="1" min="26" max="26"/>
    <col width="10" customWidth="1" min="27" max="27"/>
    <col width="8" customWidth="1" min="28" max="28"/>
    <col width="9" customWidth="1" min="29" max="29"/>
    <col width="11" customWidth="1" min="30" max="30"/>
    <col width="6" customWidth="1" min="31" max="31"/>
    <col width="10" customWidth="1" min="32" max="32"/>
  </cols>
  <sheetData>
    <row r="1" ht="28" customHeight="1">
      <c r="A1" s="1" t="inlineStr">
        <is>
          <t>🐟  FishRep · LIPAN · UNEMAT Cáceres-MT  —  MODELO DE INSERÇÃO DE NOVOS DADOS</t>
        </is>
      </c>
    </row>
    <row r="2" ht="20" customHeight="1">
      <c r="B2" s="2" t="inlineStr">
        <is>
          <t>📋 COMO USAR:</t>
        </is>
      </c>
    </row>
    <row r="3" ht="14" customHeight="1">
      <c r="B3" s="3" t="inlineStr">
        <is>
          <t>1. Colunas em BRANCO → você preenche</t>
        </is>
      </c>
    </row>
    <row r="4" ht="14" customHeight="1">
      <c r="B4" s="3" t="inlineStr">
        <is>
          <t>2. Colunas em AMARELO → calculadas automaticamente (não edite)</t>
        </is>
      </c>
    </row>
    <row r="5" ht="14" customHeight="1">
      <c r="B5" s="3" t="inlineStr">
        <is>
          <t>3. Colunas em LILÁS → PE_estimado: se não mediu o Peso Eviscerado, deixe a célula de PE vazia e marque TRUE aqui</t>
        </is>
      </c>
    </row>
    <row r="6" ht="14" customHeight="1">
      <c r="B6" s="3" t="inlineStr">
        <is>
          <t>4. ID: use sequência LIPAN-XXXX continuando do último registro do banco</t>
        </is>
      </c>
    </row>
    <row r="7" ht="14" customHeight="1">
      <c r="B7" s="3" t="inlineStr">
        <is>
          <t>5. Month: use os códigos A.-Jan / B.-Fev / C.-Mar / D.-Abr / E.-Mai / F.-Jun / G.-Jul / H.-Ago / I.-Set / J.-Out / K.-Nov / L.-Dez</t>
        </is>
      </c>
    </row>
    <row r="8" ht="14" customHeight="1">
      <c r="B8" s="3" t="inlineStr">
        <is>
          <t>6. Rep Stage: REP (repouso) · ESV (em desenvolvimento) · MAT (maduro) · EMA (em desova)</t>
        </is>
      </c>
    </row>
    <row r="9" ht="14" customHeight="1">
      <c r="B9" s="3" t="inlineStr">
        <is>
          <t>7. Sexo: F (fêmea) · M (macho) · - (indeterminado)</t>
        </is>
      </c>
    </row>
    <row r="10" ht="16" customHeight="1">
      <c r="B10" s="4" t="inlineStr">
        <is>
          <t>LEGENDA DE CORES:</t>
        </is>
      </c>
      <c r="F10" s="5" t="inlineStr">
        <is>
          <t>Você preenche</t>
        </is>
      </c>
      <c r="H10" s="6" t="inlineStr">
        <is>
          <t>Calculado auto</t>
        </is>
      </c>
      <c r="J10" s="7" t="inlineStr">
        <is>
          <t>PE_estimado</t>
        </is>
      </c>
      <c r="L10" s="8" t="inlineStr">
        <is>
          <t>Nível do rio</t>
        </is>
      </c>
    </row>
    <row r="11" ht="4" customHeight="1"/>
    <row r="12" ht="36" customHeight="1">
      <c r="A12" s="9" t="inlineStr">
        <is>
          <t>Item</t>
        </is>
      </c>
      <c r="B12" s="9" t="inlineStr">
        <is>
          <t>ID</t>
        </is>
      </c>
      <c r="C12" s="9" t="inlineStr">
        <is>
          <t>Ano</t>
        </is>
      </c>
      <c r="D12" s="9" t="inlineStr">
        <is>
          <t>Date</t>
        </is>
      </c>
      <c r="E12" s="9" t="inlineStr">
        <is>
          <t>Month</t>
        </is>
      </c>
      <c r="F12" s="9" t="inlineStr">
        <is>
          <t>Locality</t>
        </is>
      </c>
      <c r="G12" s="9" t="inlineStr">
        <is>
          <t>Coordinate</t>
        </is>
      </c>
      <c r="H12" s="9" t="inlineStr">
        <is>
          <t>Ordem</t>
        </is>
      </c>
      <c r="I12" s="9" t="inlineStr">
        <is>
          <t>Specie</t>
        </is>
      </c>
      <c r="J12" s="9" t="inlineStr">
        <is>
          <t>CT</t>
        </is>
      </c>
      <c r="K12" s="9" t="inlineStr">
        <is>
          <t>CP</t>
        </is>
      </c>
      <c r="L12" s="9" t="inlineStr">
        <is>
          <t>Peso total (g)</t>
        </is>
      </c>
      <c r="M12" s="9" t="inlineStr">
        <is>
          <t>Peso Evis (g)</t>
        </is>
      </c>
      <c r="N12" s="10" t="inlineStr">
        <is>
          <t>PE_estimado</t>
        </is>
      </c>
      <c r="O12" s="9" t="inlineStr">
        <is>
          <t>Sexo</t>
        </is>
      </c>
      <c r="P12" s="9" t="inlineStr">
        <is>
          <t>Rep Stage</t>
        </is>
      </c>
      <c r="Q12" s="9" t="inlineStr">
        <is>
          <t>Peso Gonada</t>
        </is>
      </c>
      <c r="R12" s="9" t="inlineStr">
        <is>
          <t>GR</t>
        </is>
      </c>
      <c r="S12" s="9" t="inlineStr">
        <is>
          <t>Peso de Fígado</t>
        </is>
      </c>
      <c r="T12" s="11" t="inlineStr">
        <is>
          <t>Wc</t>
        </is>
      </c>
      <c r="U12" s="11" t="inlineStr">
        <is>
          <t>RGS1</t>
        </is>
      </c>
      <c r="V12" s="11" t="inlineStr">
        <is>
          <t>IHS</t>
        </is>
      </c>
      <c r="W12" s="11" t="inlineStr">
        <is>
          <t>K_fulton</t>
        </is>
      </c>
      <c r="X12" s="12" t="inlineStr">
        <is>
          <t>Level river Aver (m)</t>
        </is>
      </c>
      <c r="Y12" s="12" t="inlineStr">
        <is>
          <t>Level river Max (m)</t>
        </is>
      </c>
      <c r="Z12" s="12" t="inlineStr">
        <is>
          <t>Level river Min (m)</t>
        </is>
      </c>
      <c r="AA12" s="9" t="inlineStr">
        <is>
          <t>X OD (mg/L)</t>
        </is>
      </c>
      <c r="AB12" s="9" t="inlineStr">
        <is>
          <t>X SAT (%)</t>
        </is>
      </c>
      <c r="AC12" s="9" t="inlineStr">
        <is>
          <t>X Temp (°C)</t>
        </is>
      </c>
      <c r="AD12" s="9" t="inlineStr">
        <is>
          <t>X Cond (µS/cm)</t>
        </is>
      </c>
      <c r="AE12" s="9" t="inlineStr">
        <is>
          <t>X pH</t>
        </is>
      </c>
      <c r="AF12" s="9" t="inlineStr">
        <is>
          <t>X Transp (cm)</t>
        </is>
      </c>
    </row>
    <row r="13" ht="16" customHeight="1">
      <c r="A13" s="13" t="inlineStr">
        <is>
          <t>Nº de campo
(campanha)</t>
        </is>
      </c>
      <c r="B13" s="13" t="inlineStr">
        <is>
          <t>ID único
LIPAN-XXXX</t>
        </is>
      </c>
      <c r="C13" s="13" t="inlineStr">
        <is>
          <t>Ano
(ex: 2026)</t>
        </is>
      </c>
      <c r="D13" s="13" t="inlineStr">
        <is>
          <t>Data
dd/mm/aaaa</t>
        </is>
      </c>
      <c r="E13" s="13" t="inlineStr">
        <is>
          <t>Mês
(A.-Jan...)</t>
        </is>
      </c>
      <c r="F13" s="13" t="inlineStr">
        <is>
          <t>Local de
coleta</t>
        </is>
      </c>
      <c r="G13" s="13" t="inlineStr">
        <is>
          <t>Coordenada
geográfica</t>
        </is>
      </c>
      <c r="H13" s="13" t="inlineStr">
        <is>
          <t>Ordem
taxonômica</t>
        </is>
      </c>
      <c r="I13" s="13" t="inlineStr">
        <is>
          <t>Espécie
(nome científico)</t>
        </is>
      </c>
      <c r="J13" s="13" t="inlineStr">
        <is>
          <t>Compr.
Total (cm)</t>
        </is>
      </c>
      <c r="K13" s="13" t="inlineStr">
        <is>
          <t>Compr.
Padrão (cm)</t>
        </is>
      </c>
      <c r="L13" s="13" t="inlineStr">
        <is>
          <t>Peso
Total (g)</t>
        </is>
      </c>
      <c r="M13" s="13" t="inlineStr">
        <is>
          <t>Peso
Evis (g)</t>
        </is>
      </c>
      <c r="N13" s="13" t="inlineStr">
        <is>
          <t>PE foi
estimado?</t>
        </is>
      </c>
      <c r="O13" s="13" t="inlineStr">
        <is>
          <t>Sexo
F/M/-</t>
        </is>
      </c>
      <c r="P13" s="13" t="inlineStr">
        <is>
          <t>Estágio
Gonadal</t>
        </is>
      </c>
      <c r="Q13" s="13" t="inlineStr">
        <is>
          <t>Peso
Gônada (g)</t>
        </is>
      </c>
      <c r="R13" s="13" t="inlineStr">
        <is>
          <t>Grau
Repleção</t>
        </is>
      </c>
      <c r="S13" s="13" t="inlineStr">
        <is>
          <t>Peso
Fígado (g)</t>
        </is>
      </c>
      <c r="T13" s="13" t="inlineStr">
        <is>
          <t>Wc
(AUTO)</t>
        </is>
      </c>
      <c r="U13" s="13" t="inlineStr">
        <is>
          <t>RGS/IGS
(AUTO) %</t>
        </is>
      </c>
      <c r="V13" s="13" t="inlineStr">
        <is>
          <t>IHS
(AUTO) %</t>
        </is>
      </c>
      <c r="W13" s="13" t="inlineStr">
        <is>
          <t>Fator K
(AUTO)</t>
        </is>
      </c>
      <c r="X13" s="13" t="inlineStr">
        <is>
          <t>Nível Rio
Médio (m)</t>
        </is>
      </c>
      <c r="Y13" s="13" t="inlineStr">
        <is>
          <t>Nível Rio
Máx (m)</t>
        </is>
      </c>
      <c r="Z13" s="13" t="inlineStr">
        <is>
          <t>Nível Rio
Mín (m)</t>
        </is>
      </c>
      <c r="AA13" s="13" t="inlineStr">
        <is>
          <t>OD
(mg/L)</t>
        </is>
      </c>
      <c r="AB13" s="13" t="inlineStr">
        <is>
          <t>Sat O₂
(%)</t>
        </is>
      </c>
      <c r="AC13" s="13" t="inlineStr">
        <is>
          <t>Temp
(°C)</t>
        </is>
      </c>
      <c r="AD13" s="13" t="inlineStr">
        <is>
          <t>Cond.
(µS/cm)</t>
        </is>
      </c>
      <c r="AE13" s="13" t="inlineStr">
        <is>
          <t>pH</t>
        </is>
      </c>
      <c r="AF13" s="13" t="inlineStr">
        <is>
          <t>Secchi
(cm)</t>
        </is>
      </c>
    </row>
    <row r="14" ht="18" customHeight="1">
      <c r="A14" s="14" t="n"/>
      <c r="B14" s="15" t="inlineStr">
        <is>
          <t>LIPAN-5823</t>
        </is>
      </c>
      <c r="C14" s="16" t="n"/>
      <c r="D14" s="14" t="n"/>
      <c r="E14" s="14" t="n"/>
      <c r="F14" s="14" t="n"/>
      <c r="G14" s="14" t="n"/>
      <c r="H14" s="14" t="n"/>
      <c r="I14" s="14" t="n"/>
      <c r="J14" s="17" t="n"/>
      <c r="K14" s="17" t="n"/>
      <c r="L14" s="18" t="n"/>
      <c r="M14" s="18" t="n"/>
      <c r="N14" s="19" t="b">
        <v>0</v>
      </c>
      <c r="O14" s="14" t="n"/>
      <c r="P14" s="14" t="n"/>
      <c r="Q14" s="18" t="n"/>
      <c r="R14" s="14" t="n"/>
      <c r="S14" s="18" t="n"/>
      <c r="T14" s="20">
        <f>IF(Q14&gt;0,M14-Q14,"")</f>
        <v/>
      </c>
      <c r="U14" s="21">
        <f>IF(AND(T14&gt;0,Q14&gt;0),(Q14/T14)*100,"")</f>
        <v/>
      </c>
      <c r="V14" s="21">
        <f>IF(AND(T14&gt;0,S14&gt;0),(S14/T14)*100,"")</f>
        <v/>
      </c>
      <c r="W14" s="20">
        <f>IF(AND(J14&gt;0,L14&gt;0),(L14/(J14^3))*100,"")</f>
        <v/>
      </c>
      <c r="X14" s="22" t="n"/>
      <c r="Y14" s="22" t="n"/>
      <c r="Z14" s="22" t="n"/>
      <c r="AA14" s="14" t="n"/>
      <c r="AB14" s="14" t="n"/>
      <c r="AC14" s="14" t="n"/>
      <c r="AD14" s="14" t="n"/>
      <c r="AE14" s="14" t="n"/>
      <c r="AF14" s="14" t="n"/>
    </row>
    <row r="15" ht="18" customHeight="1">
      <c r="A15" s="23" t="n"/>
      <c r="B15" s="15" t="inlineStr">
        <is>
          <t>LIPAN-5824</t>
        </is>
      </c>
      <c r="C15" s="24" t="n"/>
      <c r="D15" s="23" t="n"/>
      <c r="E15" s="23" t="n"/>
      <c r="F15" s="23" t="n"/>
      <c r="G15" s="23" t="n"/>
      <c r="H15" s="23" t="n"/>
      <c r="I15" s="23" t="n"/>
      <c r="J15" s="25" t="n"/>
      <c r="K15" s="25" t="n"/>
      <c r="L15" s="26" t="n"/>
      <c r="M15" s="26" t="n"/>
      <c r="N15" s="19" t="b">
        <v>0</v>
      </c>
      <c r="O15" s="23" t="n"/>
      <c r="P15" s="23" t="n"/>
      <c r="Q15" s="26" t="n"/>
      <c r="R15" s="23" t="n"/>
      <c r="S15" s="26" t="n"/>
      <c r="T15" s="20">
        <f>IF(Q15&gt;0,M15-Q15,"")</f>
        <v/>
      </c>
      <c r="U15" s="21">
        <f>IF(AND(T15&gt;0,Q15&gt;0),(Q15/T15)*100,"")</f>
        <v/>
      </c>
      <c r="V15" s="21">
        <f>IF(AND(T15&gt;0,S15&gt;0),(S15/T15)*100,"")</f>
        <v/>
      </c>
      <c r="W15" s="20">
        <f>IF(AND(J15&gt;0,L15&gt;0),(L15/(J15^3))*100,"")</f>
        <v/>
      </c>
      <c r="X15" s="27" t="n"/>
      <c r="Y15" s="27" t="n"/>
      <c r="Z15" s="27" t="n"/>
      <c r="AA15" s="23" t="n"/>
      <c r="AB15" s="23" t="n"/>
      <c r="AC15" s="23" t="n"/>
      <c r="AD15" s="23" t="n"/>
      <c r="AE15" s="23" t="n"/>
      <c r="AF15" s="23" t="n"/>
    </row>
    <row r="16" ht="18" customHeight="1">
      <c r="A16" s="14" t="n"/>
      <c r="B16" s="15" t="inlineStr">
        <is>
          <t>LIPAN-5825</t>
        </is>
      </c>
      <c r="C16" s="16" t="n"/>
      <c r="D16" s="14" t="n"/>
      <c r="E16" s="14" t="n"/>
      <c r="F16" s="14" t="n"/>
      <c r="G16" s="14" t="n"/>
      <c r="H16" s="14" t="n"/>
      <c r="I16" s="14" t="n"/>
      <c r="J16" s="17" t="n"/>
      <c r="K16" s="17" t="n"/>
      <c r="L16" s="18" t="n"/>
      <c r="M16" s="18" t="n"/>
      <c r="N16" s="19" t="b">
        <v>0</v>
      </c>
      <c r="O16" s="14" t="n"/>
      <c r="P16" s="14" t="n"/>
      <c r="Q16" s="18" t="n"/>
      <c r="R16" s="14" t="n"/>
      <c r="S16" s="18" t="n"/>
      <c r="T16" s="20">
        <f>IF(Q16&gt;0,M16-Q16,"")</f>
        <v/>
      </c>
      <c r="U16" s="21">
        <f>IF(AND(T16&gt;0,Q16&gt;0),(Q16/T16)*100,"")</f>
        <v/>
      </c>
      <c r="V16" s="21">
        <f>IF(AND(T16&gt;0,S16&gt;0),(S16/T16)*100,"")</f>
        <v/>
      </c>
      <c r="W16" s="20">
        <f>IF(AND(J16&gt;0,L16&gt;0),(L16/(J16^3))*100,"")</f>
        <v/>
      </c>
      <c r="X16" s="22" t="n"/>
      <c r="Y16" s="22" t="n"/>
      <c r="Z16" s="22" t="n"/>
      <c r="AA16" s="14" t="n"/>
      <c r="AB16" s="14" t="n"/>
      <c r="AC16" s="14" t="n"/>
      <c r="AD16" s="14" t="n"/>
      <c r="AE16" s="14" t="n"/>
      <c r="AF16" s="14" t="n"/>
    </row>
    <row r="17" ht="18" customHeight="1">
      <c r="A17" s="23" t="n"/>
      <c r="B17" s="15" t="inlineStr">
        <is>
          <t>LIPAN-5826</t>
        </is>
      </c>
      <c r="C17" s="24" t="n"/>
      <c r="D17" s="23" t="n"/>
      <c r="E17" s="23" t="n"/>
      <c r="F17" s="23" t="n"/>
      <c r="G17" s="23" t="n"/>
      <c r="H17" s="23" t="n"/>
      <c r="I17" s="23" t="n"/>
      <c r="J17" s="25" t="n"/>
      <c r="K17" s="25" t="n"/>
      <c r="L17" s="26" t="n"/>
      <c r="M17" s="26" t="n"/>
      <c r="N17" s="19" t="b">
        <v>0</v>
      </c>
      <c r="O17" s="23" t="n"/>
      <c r="P17" s="23" t="n"/>
      <c r="Q17" s="26" t="n"/>
      <c r="R17" s="23" t="n"/>
      <c r="S17" s="26" t="n"/>
      <c r="T17" s="20">
        <f>IF(Q17&gt;0,M17-Q17,"")</f>
        <v/>
      </c>
      <c r="U17" s="21">
        <f>IF(AND(T17&gt;0,Q17&gt;0),(Q17/T17)*100,"")</f>
        <v/>
      </c>
      <c r="V17" s="21">
        <f>IF(AND(T17&gt;0,S17&gt;0),(S17/T17)*100,"")</f>
        <v/>
      </c>
      <c r="W17" s="20">
        <f>IF(AND(J17&gt;0,L17&gt;0),(L17/(J17^3))*100,"")</f>
        <v/>
      </c>
      <c r="X17" s="27" t="n"/>
      <c r="Y17" s="27" t="n"/>
      <c r="Z17" s="27" t="n"/>
      <c r="AA17" s="23" t="n"/>
      <c r="AB17" s="23" t="n"/>
      <c r="AC17" s="23" t="n"/>
      <c r="AD17" s="23" t="n"/>
      <c r="AE17" s="23" t="n"/>
      <c r="AF17" s="23" t="n"/>
    </row>
    <row r="18" ht="18" customHeight="1">
      <c r="A18" s="14" t="n"/>
      <c r="B18" s="15" t="inlineStr">
        <is>
          <t>LIPAN-5827</t>
        </is>
      </c>
      <c r="C18" s="16" t="n"/>
      <c r="D18" s="14" t="n"/>
      <c r="E18" s="14" t="n"/>
      <c r="F18" s="14" t="n"/>
      <c r="G18" s="14" t="n"/>
      <c r="H18" s="14" t="n"/>
      <c r="I18" s="14" t="n"/>
      <c r="J18" s="17" t="n"/>
      <c r="K18" s="17" t="n"/>
      <c r="L18" s="18" t="n"/>
      <c r="M18" s="18" t="n"/>
      <c r="N18" s="19" t="b">
        <v>0</v>
      </c>
      <c r="O18" s="14" t="n"/>
      <c r="P18" s="14" t="n"/>
      <c r="Q18" s="18" t="n"/>
      <c r="R18" s="14" t="n"/>
      <c r="S18" s="18" t="n"/>
      <c r="T18" s="20">
        <f>IF(Q18&gt;0,M18-Q18,"")</f>
        <v/>
      </c>
      <c r="U18" s="21">
        <f>IF(AND(T18&gt;0,Q18&gt;0),(Q18/T18)*100,"")</f>
        <v/>
      </c>
      <c r="V18" s="21">
        <f>IF(AND(T18&gt;0,S18&gt;0),(S18/T18)*100,"")</f>
        <v/>
      </c>
      <c r="W18" s="20">
        <f>IF(AND(J18&gt;0,L18&gt;0),(L18/(J18^3))*100,"")</f>
        <v/>
      </c>
      <c r="X18" s="22" t="n"/>
      <c r="Y18" s="22" t="n"/>
      <c r="Z18" s="22" t="n"/>
      <c r="AA18" s="14" t="n"/>
      <c r="AB18" s="14" t="n"/>
      <c r="AC18" s="14" t="n"/>
      <c r="AD18" s="14" t="n"/>
      <c r="AE18" s="14" t="n"/>
      <c r="AF18" s="14" t="n"/>
    </row>
    <row r="19" ht="18" customHeight="1">
      <c r="A19" s="23" t="n"/>
      <c r="B19" s="15" t="inlineStr">
        <is>
          <t>LIPAN-5828</t>
        </is>
      </c>
      <c r="C19" s="24" t="n"/>
      <c r="D19" s="23" t="n"/>
      <c r="E19" s="23" t="n"/>
      <c r="F19" s="23" t="n"/>
      <c r="G19" s="23" t="n"/>
      <c r="H19" s="23" t="n"/>
      <c r="I19" s="23" t="n"/>
      <c r="J19" s="25" t="n"/>
      <c r="K19" s="25" t="n"/>
      <c r="L19" s="26" t="n"/>
      <c r="M19" s="26" t="n"/>
      <c r="N19" s="19" t="b">
        <v>0</v>
      </c>
      <c r="O19" s="23" t="n"/>
      <c r="P19" s="23" t="n"/>
      <c r="Q19" s="26" t="n"/>
      <c r="R19" s="23" t="n"/>
      <c r="S19" s="26" t="n"/>
      <c r="T19" s="20">
        <f>IF(Q19&gt;0,M19-Q19,"")</f>
        <v/>
      </c>
      <c r="U19" s="21">
        <f>IF(AND(T19&gt;0,Q19&gt;0),(Q19/T19)*100,"")</f>
        <v/>
      </c>
      <c r="V19" s="21">
        <f>IF(AND(T19&gt;0,S19&gt;0),(S19/T19)*100,"")</f>
        <v/>
      </c>
      <c r="W19" s="20">
        <f>IF(AND(J19&gt;0,L19&gt;0),(L19/(J19^3))*100,"")</f>
        <v/>
      </c>
      <c r="X19" s="27" t="n"/>
      <c r="Y19" s="27" t="n"/>
      <c r="Z19" s="27" t="n"/>
      <c r="AA19" s="23" t="n"/>
      <c r="AB19" s="23" t="n"/>
      <c r="AC19" s="23" t="n"/>
      <c r="AD19" s="23" t="n"/>
      <c r="AE19" s="23" t="n"/>
      <c r="AF19" s="23" t="n"/>
    </row>
    <row r="20" ht="18" customHeight="1">
      <c r="A20" s="14" t="n"/>
      <c r="B20" s="15" t="inlineStr">
        <is>
          <t>LIPAN-5829</t>
        </is>
      </c>
      <c r="C20" s="16" t="n"/>
      <c r="D20" s="14" t="n"/>
      <c r="E20" s="14" t="n"/>
      <c r="F20" s="14" t="n"/>
      <c r="G20" s="14" t="n"/>
      <c r="H20" s="14" t="n"/>
      <c r="I20" s="14" t="n"/>
      <c r="J20" s="17" t="n"/>
      <c r="K20" s="17" t="n"/>
      <c r="L20" s="18" t="n"/>
      <c r="M20" s="18" t="n"/>
      <c r="N20" s="19" t="b">
        <v>0</v>
      </c>
      <c r="O20" s="14" t="n"/>
      <c r="P20" s="14" t="n"/>
      <c r="Q20" s="18" t="n"/>
      <c r="R20" s="14" t="n"/>
      <c r="S20" s="18" t="n"/>
      <c r="T20" s="20">
        <f>IF(Q20&gt;0,M20-Q20,"")</f>
        <v/>
      </c>
      <c r="U20" s="21">
        <f>IF(AND(T20&gt;0,Q20&gt;0),(Q20/T20)*100,"")</f>
        <v/>
      </c>
      <c r="V20" s="21">
        <f>IF(AND(T20&gt;0,S20&gt;0),(S20/T20)*100,"")</f>
        <v/>
      </c>
      <c r="W20" s="20">
        <f>IF(AND(J20&gt;0,L20&gt;0),(L20/(J20^3))*100,"")</f>
        <v/>
      </c>
      <c r="X20" s="22" t="n"/>
      <c r="Y20" s="22" t="n"/>
      <c r="Z20" s="22" t="n"/>
      <c r="AA20" s="14" t="n"/>
      <c r="AB20" s="14" t="n"/>
      <c r="AC20" s="14" t="n"/>
      <c r="AD20" s="14" t="n"/>
      <c r="AE20" s="14" t="n"/>
      <c r="AF20" s="14" t="n"/>
    </row>
    <row r="21" ht="18" customHeight="1">
      <c r="A21" s="23" t="n"/>
      <c r="B21" s="15" t="inlineStr">
        <is>
          <t>LIPAN-5830</t>
        </is>
      </c>
      <c r="C21" s="24" t="n"/>
      <c r="D21" s="23" t="n"/>
      <c r="E21" s="23" t="n"/>
      <c r="F21" s="23" t="n"/>
      <c r="G21" s="23" t="n"/>
      <c r="H21" s="23" t="n"/>
      <c r="I21" s="23" t="n"/>
      <c r="J21" s="25" t="n"/>
      <c r="K21" s="25" t="n"/>
      <c r="L21" s="26" t="n"/>
      <c r="M21" s="26" t="n"/>
      <c r="N21" s="19" t="b">
        <v>0</v>
      </c>
      <c r="O21" s="23" t="n"/>
      <c r="P21" s="23" t="n"/>
      <c r="Q21" s="26" t="n"/>
      <c r="R21" s="23" t="n"/>
      <c r="S21" s="26" t="n"/>
      <c r="T21" s="20">
        <f>IF(Q21&gt;0,M21-Q21,"")</f>
        <v/>
      </c>
      <c r="U21" s="21">
        <f>IF(AND(T21&gt;0,Q21&gt;0),(Q21/T21)*100,"")</f>
        <v/>
      </c>
      <c r="V21" s="21">
        <f>IF(AND(T21&gt;0,S21&gt;0),(S21/T21)*100,"")</f>
        <v/>
      </c>
      <c r="W21" s="20">
        <f>IF(AND(J21&gt;0,L21&gt;0),(L21/(J21^3))*100,"")</f>
        <v/>
      </c>
      <c r="X21" s="27" t="n"/>
      <c r="Y21" s="27" t="n"/>
      <c r="Z21" s="27" t="n"/>
      <c r="AA21" s="23" t="n"/>
      <c r="AB21" s="23" t="n"/>
      <c r="AC21" s="23" t="n"/>
      <c r="AD21" s="23" t="n"/>
      <c r="AE21" s="23" t="n"/>
      <c r="AF21" s="23" t="n"/>
    </row>
    <row r="22" ht="18" customHeight="1">
      <c r="A22" s="14" t="n"/>
      <c r="B22" s="15" t="inlineStr">
        <is>
          <t>LIPAN-5831</t>
        </is>
      </c>
      <c r="C22" s="16" t="n"/>
      <c r="D22" s="14" t="n"/>
      <c r="E22" s="14" t="n"/>
      <c r="F22" s="14" t="n"/>
      <c r="G22" s="14" t="n"/>
      <c r="H22" s="14" t="n"/>
      <c r="I22" s="14" t="n"/>
      <c r="J22" s="17" t="n"/>
      <c r="K22" s="17" t="n"/>
      <c r="L22" s="18" t="n"/>
      <c r="M22" s="18" t="n"/>
      <c r="N22" s="19" t="b">
        <v>0</v>
      </c>
      <c r="O22" s="14" t="n"/>
      <c r="P22" s="14" t="n"/>
      <c r="Q22" s="18" t="n"/>
      <c r="R22" s="14" t="n"/>
      <c r="S22" s="18" t="n"/>
      <c r="T22" s="20">
        <f>IF(Q22&gt;0,M22-Q22,"")</f>
        <v/>
      </c>
      <c r="U22" s="21">
        <f>IF(AND(T22&gt;0,Q22&gt;0),(Q22/T22)*100,"")</f>
        <v/>
      </c>
      <c r="V22" s="21">
        <f>IF(AND(T22&gt;0,S22&gt;0),(S22/T22)*100,"")</f>
        <v/>
      </c>
      <c r="W22" s="20">
        <f>IF(AND(J22&gt;0,L22&gt;0),(L22/(J22^3))*100,"")</f>
        <v/>
      </c>
      <c r="X22" s="22" t="n"/>
      <c r="Y22" s="22" t="n"/>
      <c r="Z22" s="22" t="n"/>
      <c r="AA22" s="14" t="n"/>
      <c r="AB22" s="14" t="n"/>
      <c r="AC22" s="14" t="n"/>
      <c r="AD22" s="14" t="n"/>
      <c r="AE22" s="14" t="n"/>
      <c r="AF22" s="14" t="n"/>
    </row>
    <row r="23" ht="18" customHeight="1">
      <c r="A23" s="23" t="n"/>
      <c r="B23" s="15" t="inlineStr">
        <is>
          <t>LIPAN-5832</t>
        </is>
      </c>
      <c r="C23" s="24" t="n"/>
      <c r="D23" s="23" t="n"/>
      <c r="E23" s="23" t="n"/>
      <c r="F23" s="23" t="n"/>
      <c r="G23" s="23" t="n"/>
      <c r="H23" s="23" t="n"/>
      <c r="I23" s="23" t="n"/>
      <c r="J23" s="25" t="n"/>
      <c r="K23" s="25" t="n"/>
      <c r="L23" s="26" t="n"/>
      <c r="M23" s="26" t="n"/>
      <c r="N23" s="19" t="b">
        <v>0</v>
      </c>
      <c r="O23" s="23" t="n"/>
      <c r="P23" s="23" t="n"/>
      <c r="Q23" s="26" t="n"/>
      <c r="R23" s="23" t="n"/>
      <c r="S23" s="26" t="n"/>
      <c r="T23" s="20">
        <f>IF(Q23&gt;0,M23-Q23,"")</f>
        <v/>
      </c>
      <c r="U23" s="21">
        <f>IF(AND(T23&gt;0,Q23&gt;0),(Q23/T23)*100,"")</f>
        <v/>
      </c>
      <c r="V23" s="21">
        <f>IF(AND(T23&gt;0,S23&gt;0),(S23/T23)*100,"")</f>
        <v/>
      </c>
      <c r="W23" s="20">
        <f>IF(AND(J23&gt;0,L23&gt;0),(L23/(J23^3))*100,"")</f>
        <v/>
      </c>
      <c r="X23" s="27" t="n"/>
      <c r="Y23" s="27" t="n"/>
      <c r="Z23" s="27" t="n"/>
      <c r="AA23" s="23" t="n"/>
      <c r="AB23" s="23" t="n"/>
      <c r="AC23" s="23" t="n"/>
      <c r="AD23" s="23" t="n"/>
      <c r="AE23" s="23" t="n"/>
      <c r="AF23" s="23" t="n"/>
    </row>
    <row r="24" ht="18" customHeight="1">
      <c r="A24" s="14" t="n"/>
      <c r="B24" s="15" t="inlineStr">
        <is>
          <t>LIPAN-5833</t>
        </is>
      </c>
      <c r="C24" s="16" t="n"/>
      <c r="D24" s="14" t="n"/>
      <c r="E24" s="14" t="n"/>
      <c r="F24" s="14" t="n"/>
      <c r="G24" s="14" t="n"/>
      <c r="H24" s="14" t="n"/>
      <c r="I24" s="14" t="n"/>
      <c r="J24" s="17" t="n"/>
      <c r="K24" s="17" t="n"/>
      <c r="L24" s="18" t="n"/>
      <c r="M24" s="18" t="n"/>
      <c r="N24" s="19" t="b">
        <v>0</v>
      </c>
      <c r="O24" s="14" t="n"/>
      <c r="P24" s="14" t="n"/>
      <c r="Q24" s="18" t="n"/>
      <c r="R24" s="14" t="n"/>
      <c r="S24" s="18" t="n"/>
      <c r="T24" s="20">
        <f>IF(Q24&gt;0,M24-Q24,"")</f>
        <v/>
      </c>
      <c r="U24" s="21">
        <f>IF(AND(T24&gt;0,Q24&gt;0),(Q24/T24)*100,"")</f>
        <v/>
      </c>
      <c r="V24" s="21">
        <f>IF(AND(T24&gt;0,S24&gt;0),(S24/T24)*100,"")</f>
        <v/>
      </c>
      <c r="W24" s="20">
        <f>IF(AND(J24&gt;0,L24&gt;0),(L24/(J24^3))*100,"")</f>
        <v/>
      </c>
      <c r="X24" s="22" t="n"/>
      <c r="Y24" s="22" t="n"/>
      <c r="Z24" s="22" t="n"/>
      <c r="AA24" s="14" t="n"/>
      <c r="AB24" s="14" t="n"/>
      <c r="AC24" s="14" t="n"/>
      <c r="AD24" s="14" t="n"/>
      <c r="AE24" s="14" t="n"/>
      <c r="AF24" s="14" t="n"/>
    </row>
    <row r="25" ht="18" customHeight="1">
      <c r="A25" s="23" t="n"/>
      <c r="B25" s="15" t="inlineStr">
        <is>
          <t>LIPAN-5834</t>
        </is>
      </c>
      <c r="C25" s="24" t="n"/>
      <c r="D25" s="23" t="n"/>
      <c r="E25" s="23" t="n"/>
      <c r="F25" s="23" t="n"/>
      <c r="G25" s="23" t="n"/>
      <c r="H25" s="23" t="n"/>
      <c r="I25" s="23" t="n"/>
      <c r="J25" s="25" t="n"/>
      <c r="K25" s="25" t="n"/>
      <c r="L25" s="26" t="n"/>
      <c r="M25" s="26" t="n"/>
      <c r="N25" s="19" t="b">
        <v>0</v>
      </c>
      <c r="O25" s="23" t="n"/>
      <c r="P25" s="23" t="n"/>
      <c r="Q25" s="26" t="n"/>
      <c r="R25" s="23" t="n"/>
      <c r="S25" s="26" t="n"/>
      <c r="T25" s="20">
        <f>IF(Q25&gt;0,M25-Q25,"")</f>
        <v/>
      </c>
      <c r="U25" s="21">
        <f>IF(AND(T25&gt;0,Q25&gt;0),(Q25/T25)*100,"")</f>
        <v/>
      </c>
      <c r="V25" s="21">
        <f>IF(AND(T25&gt;0,S25&gt;0),(S25/T25)*100,"")</f>
        <v/>
      </c>
      <c r="W25" s="20">
        <f>IF(AND(J25&gt;0,L25&gt;0),(L25/(J25^3))*100,"")</f>
        <v/>
      </c>
      <c r="X25" s="27" t="n"/>
      <c r="Y25" s="27" t="n"/>
      <c r="Z25" s="27" t="n"/>
      <c r="AA25" s="23" t="n"/>
      <c r="AB25" s="23" t="n"/>
      <c r="AC25" s="23" t="n"/>
      <c r="AD25" s="23" t="n"/>
      <c r="AE25" s="23" t="n"/>
      <c r="AF25" s="23" t="n"/>
    </row>
    <row r="26" ht="18" customHeight="1">
      <c r="A26" s="14" t="n"/>
      <c r="B26" s="15" t="inlineStr">
        <is>
          <t>LIPAN-5835</t>
        </is>
      </c>
      <c r="C26" s="16" t="n"/>
      <c r="D26" s="14" t="n"/>
      <c r="E26" s="14" t="n"/>
      <c r="F26" s="14" t="n"/>
      <c r="G26" s="14" t="n"/>
      <c r="H26" s="14" t="n"/>
      <c r="I26" s="14" t="n"/>
      <c r="J26" s="17" t="n"/>
      <c r="K26" s="17" t="n"/>
      <c r="L26" s="18" t="n"/>
      <c r="M26" s="18" t="n"/>
      <c r="N26" s="19" t="b">
        <v>0</v>
      </c>
      <c r="O26" s="14" t="n"/>
      <c r="P26" s="14" t="n"/>
      <c r="Q26" s="18" t="n"/>
      <c r="R26" s="14" t="n"/>
      <c r="S26" s="18" t="n"/>
      <c r="T26" s="20">
        <f>IF(Q26&gt;0,M26-Q26,"")</f>
        <v/>
      </c>
      <c r="U26" s="21">
        <f>IF(AND(T26&gt;0,Q26&gt;0),(Q26/T26)*100,"")</f>
        <v/>
      </c>
      <c r="V26" s="21">
        <f>IF(AND(T26&gt;0,S26&gt;0),(S26/T26)*100,"")</f>
        <v/>
      </c>
      <c r="W26" s="20">
        <f>IF(AND(J26&gt;0,L26&gt;0),(L26/(J26^3))*100,"")</f>
        <v/>
      </c>
      <c r="X26" s="22" t="n"/>
      <c r="Y26" s="22" t="n"/>
      <c r="Z26" s="22" t="n"/>
      <c r="AA26" s="14" t="n"/>
      <c r="AB26" s="14" t="n"/>
      <c r="AC26" s="14" t="n"/>
      <c r="AD26" s="14" t="n"/>
      <c r="AE26" s="14" t="n"/>
      <c r="AF26" s="14" t="n"/>
    </row>
    <row r="27" ht="18" customHeight="1">
      <c r="A27" s="23" t="n"/>
      <c r="B27" s="15" t="inlineStr">
        <is>
          <t>LIPAN-5836</t>
        </is>
      </c>
      <c r="C27" s="24" t="n"/>
      <c r="D27" s="23" t="n"/>
      <c r="E27" s="23" t="n"/>
      <c r="F27" s="23" t="n"/>
      <c r="G27" s="23" t="n"/>
      <c r="H27" s="23" t="n"/>
      <c r="I27" s="23" t="n"/>
      <c r="J27" s="25" t="n"/>
      <c r="K27" s="25" t="n"/>
      <c r="L27" s="26" t="n"/>
      <c r="M27" s="26" t="n"/>
      <c r="N27" s="19" t="b">
        <v>0</v>
      </c>
      <c r="O27" s="23" t="n"/>
      <c r="P27" s="23" t="n"/>
      <c r="Q27" s="26" t="n"/>
      <c r="R27" s="23" t="n"/>
      <c r="S27" s="26" t="n"/>
      <c r="T27" s="20">
        <f>IF(Q27&gt;0,M27-Q27,"")</f>
        <v/>
      </c>
      <c r="U27" s="21">
        <f>IF(AND(T27&gt;0,Q27&gt;0),(Q27/T27)*100,"")</f>
        <v/>
      </c>
      <c r="V27" s="21">
        <f>IF(AND(T27&gt;0,S27&gt;0),(S27/T27)*100,"")</f>
        <v/>
      </c>
      <c r="W27" s="20">
        <f>IF(AND(J27&gt;0,L27&gt;0),(L27/(J27^3))*100,"")</f>
        <v/>
      </c>
      <c r="X27" s="27" t="n"/>
      <c r="Y27" s="27" t="n"/>
      <c r="Z27" s="27" t="n"/>
      <c r="AA27" s="23" t="n"/>
      <c r="AB27" s="23" t="n"/>
      <c r="AC27" s="23" t="n"/>
      <c r="AD27" s="23" t="n"/>
      <c r="AE27" s="23" t="n"/>
      <c r="AF27" s="23" t="n"/>
    </row>
    <row r="28" ht="18" customHeight="1">
      <c r="A28" s="14" t="n"/>
      <c r="B28" s="15" t="inlineStr">
        <is>
          <t>LIPAN-5837</t>
        </is>
      </c>
      <c r="C28" s="16" t="n"/>
      <c r="D28" s="14" t="n"/>
      <c r="E28" s="14" t="n"/>
      <c r="F28" s="14" t="n"/>
      <c r="G28" s="14" t="n"/>
      <c r="H28" s="14" t="n"/>
      <c r="I28" s="14" t="n"/>
      <c r="J28" s="17" t="n"/>
      <c r="K28" s="17" t="n"/>
      <c r="L28" s="18" t="n"/>
      <c r="M28" s="18" t="n"/>
      <c r="N28" s="19" t="b">
        <v>0</v>
      </c>
      <c r="O28" s="14" t="n"/>
      <c r="P28" s="14" t="n"/>
      <c r="Q28" s="18" t="n"/>
      <c r="R28" s="14" t="n"/>
      <c r="S28" s="18" t="n"/>
      <c r="T28" s="20">
        <f>IF(Q28&gt;0,M28-Q28,"")</f>
        <v/>
      </c>
      <c r="U28" s="21">
        <f>IF(AND(T28&gt;0,Q28&gt;0),(Q28/T28)*100,"")</f>
        <v/>
      </c>
      <c r="V28" s="21">
        <f>IF(AND(T28&gt;0,S28&gt;0),(S28/T28)*100,"")</f>
        <v/>
      </c>
      <c r="W28" s="20">
        <f>IF(AND(J28&gt;0,L28&gt;0),(L28/(J28^3))*100,"")</f>
        <v/>
      </c>
      <c r="X28" s="22" t="n"/>
      <c r="Y28" s="22" t="n"/>
      <c r="Z28" s="22" t="n"/>
      <c r="AA28" s="14" t="n"/>
      <c r="AB28" s="14" t="n"/>
      <c r="AC28" s="14" t="n"/>
      <c r="AD28" s="14" t="n"/>
      <c r="AE28" s="14" t="n"/>
      <c r="AF28" s="14" t="n"/>
    </row>
    <row r="29" ht="18" customHeight="1">
      <c r="A29" s="23" t="n"/>
      <c r="B29" s="15" t="inlineStr">
        <is>
          <t>LIPAN-5838</t>
        </is>
      </c>
      <c r="C29" s="24" t="n"/>
      <c r="D29" s="23" t="n"/>
      <c r="E29" s="23" t="n"/>
      <c r="F29" s="23" t="n"/>
      <c r="G29" s="23" t="n"/>
      <c r="H29" s="23" t="n"/>
      <c r="I29" s="23" t="n"/>
      <c r="J29" s="25" t="n"/>
      <c r="K29" s="25" t="n"/>
      <c r="L29" s="26" t="n"/>
      <c r="M29" s="26" t="n"/>
      <c r="N29" s="19" t="b">
        <v>0</v>
      </c>
      <c r="O29" s="23" t="n"/>
      <c r="P29" s="23" t="n"/>
      <c r="Q29" s="26" t="n"/>
      <c r="R29" s="23" t="n"/>
      <c r="S29" s="26" t="n"/>
      <c r="T29" s="20">
        <f>IF(Q29&gt;0,M29-Q29,"")</f>
        <v/>
      </c>
      <c r="U29" s="21">
        <f>IF(AND(T29&gt;0,Q29&gt;0),(Q29/T29)*100,"")</f>
        <v/>
      </c>
      <c r="V29" s="21">
        <f>IF(AND(T29&gt;0,S29&gt;0),(S29/T29)*100,"")</f>
        <v/>
      </c>
      <c r="W29" s="20">
        <f>IF(AND(J29&gt;0,L29&gt;0),(L29/(J29^3))*100,"")</f>
        <v/>
      </c>
      <c r="X29" s="27" t="n"/>
      <c r="Y29" s="27" t="n"/>
      <c r="Z29" s="27" t="n"/>
      <c r="AA29" s="23" t="n"/>
      <c r="AB29" s="23" t="n"/>
      <c r="AC29" s="23" t="n"/>
      <c r="AD29" s="23" t="n"/>
      <c r="AE29" s="23" t="n"/>
      <c r="AF29" s="23" t="n"/>
    </row>
    <row r="30" ht="18" customHeight="1">
      <c r="A30" s="14" t="n"/>
      <c r="B30" s="15" t="inlineStr">
        <is>
          <t>LIPAN-5839</t>
        </is>
      </c>
      <c r="C30" s="16" t="n"/>
      <c r="D30" s="14" t="n"/>
      <c r="E30" s="14" t="n"/>
      <c r="F30" s="14" t="n"/>
      <c r="G30" s="14" t="n"/>
      <c r="H30" s="14" t="n"/>
      <c r="I30" s="14" t="n"/>
      <c r="J30" s="17" t="n"/>
      <c r="K30" s="17" t="n"/>
      <c r="L30" s="18" t="n"/>
      <c r="M30" s="18" t="n"/>
      <c r="N30" s="19" t="b">
        <v>0</v>
      </c>
      <c r="O30" s="14" t="n"/>
      <c r="P30" s="14" t="n"/>
      <c r="Q30" s="18" t="n"/>
      <c r="R30" s="14" t="n"/>
      <c r="S30" s="18" t="n"/>
      <c r="T30" s="20">
        <f>IF(Q30&gt;0,M30-Q30,"")</f>
        <v/>
      </c>
      <c r="U30" s="21">
        <f>IF(AND(T30&gt;0,Q30&gt;0),(Q30/T30)*100,"")</f>
        <v/>
      </c>
      <c r="V30" s="21">
        <f>IF(AND(T30&gt;0,S30&gt;0),(S30/T30)*100,"")</f>
        <v/>
      </c>
      <c r="W30" s="20">
        <f>IF(AND(J30&gt;0,L30&gt;0),(L30/(J30^3))*100,"")</f>
        <v/>
      </c>
      <c r="X30" s="22" t="n"/>
      <c r="Y30" s="22" t="n"/>
      <c r="Z30" s="22" t="n"/>
      <c r="AA30" s="14" t="n"/>
      <c r="AB30" s="14" t="n"/>
      <c r="AC30" s="14" t="n"/>
      <c r="AD30" s="14" t="n"/>
      <c r="AE30" s="14" t="n"/>
      <c r="AF30" s="14" t="n"/>
    </row>
    <row r="31" ht="18" customHeight="1">
      <c r="A31" s="23" t="n"/>
      <c r="B31" s="15" t="inlineStr">
        <is>
          <t>LIPAN-5840</t>
        </is>
      </c>
      <c r="C31" s="24" t="n"/>
      <c r="D31" s="23" t="n"/>
      <c r="E31" s="23" t="n"/>
      <c r="F31" s="23" t="n"/>
      <c r="G31" s="23" t="n"/>
      <c r="H31" s="23" t="n"/>
      <c r="I31" s="23" t="n"/>
      <c r="J31" s="25" t="n"/>
      <c r="K31" s="25" t="n"/>
      <c r="L31" s="26" t="n"/>
      <c r="M31" s="26" t="n"/>
      <c r="N31" s="19" t="b">
        <v>0</v>
      </c>
      <c r="O31" s="23" t="n"/>
      <c r="P31" s="23" t="n"/>
      <c r="Q31" s="26" t="n"/>
      <c r="R31" s="23" t="n"/>
      <c r="S31" s="26" t="n"/>
      <c r="T31" s="20">
        <f>IF(Q31&gt;0,M31-Q31,"")</f>
        <v/>
      </c>
      <c r="U31" s="21">
        <f>IF(AND(T31&gt;0,Q31&gt;0),(Q31/T31)*100,"")</f>
        <v/>
      </c>
      <c r="V31" s="21">
        <f>IF(AND(T31&gt;0,S31&gt;0),(S31/T31)*100,"")</f>
        <v/>
      </c>
      <c r="W31" s="20">
        <f>IF(AND(J31&gt;0,L31&gt;0),(L31/(J31^3))*100,"")</f>
        <v/>
      </c>
      <c r="X31" s="27" t="n"/>
      <c r="Y31" s="27" t="n"/>
      <c r="Z31" s="27" t="n"/>
      <c r="AA31" s="23" t="n"/>
      <c r="AB31" s="23" t="n"/>
      <c r="AC31" s="23" t="n"/>
      <c r="AD31" s="23" t="n"/>
      <c r="AE31" s="23" t="n"/>
      <c r="AF31" s="23" t="n"/>
    </row>
    <row r="32" ht="18" customHeight="1">
      <c r="A32" s="14" t="n"/>
      <c r="B32" s="15" t="inlineStr">
        <is>
          <t>LIPAN-5841</t>
        </is>
      </c>
      <c r="C32" s="16" t="n"/>
      <c r="D32" s="14" t="n"/>
      <c r="E32" s="14" t="n"/>
      <c r="F32" s="14" t="n"/>
      <c r="G32" s="14" t="n"/>
      <c r="H32" s="14" t="n"/>
      <c r="I32" s="14" t="n"/>
      <c r="J32" s="17" t="n"/>
      <c r="K32" s="17" t="n"/>
      <c r="L32" s="18" t="n"/>
      <c r="M32" s="18" t="n"/>
      <c r="N32" s="19" t="b">
        <v>0</v>
      </c>
      <c r="O32" s="14" t="n"/>
      <c r="P32" s="14" t="n"/>
      <c r="Q32" s="18" t="n"/>
      <c r="R32" s="14" t="n"/>
      <c r="S32" s="18" t="n"/>
      <c r="T32" s="20">
        <f>IF(Q32&gt;0,M32-Q32,"")</f>
        <v/>
      </c>
      <c r="U32" s="21">
        <f>IF(AND(T32&gt;0,Q32&gt;0),(Q32/T32)*100,"")</f>
        <v/>
      </c>
      <c r="V32" s="21">
        <f>IF(AND(T32&gt;0,S32&gt;0),(S32/T32)*100,"")</f>
        <v/>
      </c>
      <c r="W32" s="20">
        <f>IF(AND(J32&gt;0,L32&gt;0),(L32/(J32^3))*100,"")</f>
        <v/>
      </c>
      <c r="X32" s="22" t="n"/>
      <c r="Y32" s="22" t="n"/>
      <c r="Z32" s="22" t="n"/>
      <c r="AA32" s="14" t="n"/>
      <c r="AB32" s="14" t="n"/>
      <c r="AC32" s="14" t="n"/>
      <c r="AD32" s="14" t="n"/>
      <c r="AE32" s="14" t="n"/>
      <c r="AF32" s="14" t="n"/>
    </row>
    <row r="33" ht="18" customHeight="1">
      <c r="A33" s="23" t="n"/>
      <c r="B33" s="15" t="inlineStr">
        <is>
          <t>LIPAN-5842</t>
        </is>
      </c>
      <c r="C33" s="24" t="n"/>
      <c r="D33" s="23" t="n"/>
      <c r="E33" s="23" t="n"/>
      <c r="F33" s="23" t="n"/>
      <c r="G33" s="23" t="n"/>
      <c r="H33" s="23" t="n"/>
      <c r="I33" s="23" t="n"/>
      <c r="J33" s="25" t="n"/>
      <c r="K33" s="25" t="n"/>
      <c r="L33" s="26" t="n"/>
      <c r="M33" s="26" t="n"/>
      <c r="N33" s="19" t="b">
        <v>0</v>
      </c>
      <c r="O33" s="23" t="n"/>
      <c r="P33" s="23" t="n"/>
      <c r="Q33" s="26" t="n"/>
      <c r="R33" s="23" t="n"/>
      <c r="S33" s="26" t="n"/>
      <c r="T33" s="20">
        <f>IF(Q33&gt;0,M33-Q33,"")</f>
        <v/>
      </c>
      <c r="U33" s="21">
        <f>IF(AND(T33&gt;0,Q33&gt;0),(Q33/T33)*100,"")</f>
        <v/>
      </c>
      <c r="V33" s="21">
        <f>IF(AND(T33&gt;0,S33&gt;0),(S33/T33)*100,"")</f>
        <v/>
      </c>
      <c r="W33" s="20">
        <f>IF(AND(J33&gt;0,L33&gt;0),(L33/(J33^3))*100,"")</f>
        <v/>
      </c>
      <c r="X33" s="27" t="n"/>
      <c r="Y33" s="27" t="n"/>
      <c r="Z33" s="27" t="n"/>
      <c r="AA33" s="23" t="n"/>
      <c r="AB33" s="23" t="n"/>
      <c r="AC33" s="23" t="n"/>
      <c r="AD33" s="23" t="n"/>
      <c r="AE33" s="23" t="n"/>
      <c r="AF33" s="23" t="n"/>
    </row>
    <row r="34" ht="18" customHeight="1">
      <c r="A34" s="14" t="n"/>
      <c r="B34" s="15" t="inlineStr">
        <is>
          <t>LIPAN-5843</t>
        </is>
      </c>
      <c r="C34" s="16" t="n"/>
      <c r="D34" s="14" t="n"/>
      <c r="E34" s="14" t="n"/>
      <c r="F34" s="14" t="n"/>
      <c r="G34" s="14" t="n"/>
      <c r="H34" s="14" t="n"/>
      <c r="I34" s="14" t="n"/>
      <c r="J34" s="17" t="n"/>
      <c r="K34" s="17" t="n"/>
      <c r="L34" s="18" t="n"/>
      <c r="M34" s="18" t="n"/>
      <c r="N34" s="19" t="b">
        <v>0</v>
      </c>
      <c r="O34" s="14" t="n"/>
      <c r="P34" s="14" t="n"/>
      <c r="Q34" s="18" t="n"/>
      <c r="R34" s="14" t="n"/>
      <c r="S34" s="18" t="n"/>
      <c r="T34" s="20">
        <f>IF(Q34&gt;0,M34-Q34,"")</f>
        <v/>
      </c>
      <c r="U34" s="21">
        <f>IF(AND(T34&gt;0,Q34&gt;0),(Q34/T34)*100,"")</f>
        <v/>
      </c>
      <c r="V34" s="21">
        <f>IF(AND(T34&gt;0,S34&gt;0),(S34/T34)*100,"")</f>
        <v/>
      </c>
      <c r="W34" s="20">
        <f>IF(AND(J34&gt;0,L34&gt;0),(L34/(J34^3))*100,"")</f>
        <v/>
      </c>
      <c r="X34" s="22" t="n"/>
      <c r="Y34" s="22" t="n"/>
      <c r="Z34" s="22" t="n"/>
      <c r="AA34" s="14" t="n"/>
      <c r="AB34" s="14" t="n"/>
      <c r="AC34" s="14" t="n"/>
      <c r="AD34" s="14" t="n"/>
      <c r="AE34" s="14" t="n"/>
      <c r="AF34" s="14" t="n"/>
    </row>
    <row r="35" ht="18" customHeight="1">
      <c r="A35" s="23" t="n"/>
      <c r="B35" s="15" t="inlineStr">
        <is>
          <t>LIPAN-5844</t>
        </is>
      </c>
      <c r="C35" s="24" t="n"/>
      <c r="D35" s="23" t="n"/>
      <c r="E35" s="23" t="n"/>
      <c r="F35" s="23" t="n"/>
      <c r="G35" s="23" t="n"/>
      <c r="H35" s="23" t="n"/>
      <c r="I35" s="23" t="n"/>
      <c r="J35" s="25" t="n"/>
      <c r="K35" s="25" t="n"/>
      <c r="L35" s="26" t="n"/>
      <c r="M35" s="26" t="n"/>
      <c r="N35" s="19" t="b">
        <v>0</v>
      </c>
      <c r="O35" s="23" t="n"/>
      <c r="P35" s="23" t="n"/>
      <c r="Q35" s="26" t="n"/>
      <c r="R35" s="23" t="n"/>
      <c r="S35" s="26" t="n"/>
      <c r="T35" s="20">
        <f>IF(Q35&gt;0,M35-Q35,"")</f>
        <v/>
      </c>
      <c r="U35" s="21">
        <f>IF(AND(T35&gt;0,Q35&gt;0),(Q35/T35)*100,"")</f>
        <v/>
      </c>
      <c r="V35" s="21">
        <f>IF(AND(T35&gt;0,S35&gt;0),(S35/T35)*100,"")</f>
        <v/>
      </c>
      <c r="W35" s="20">
        <f>IF(AND(J35&gt;0,L35&gt;0),(L35/(J35^3))*100,"")</f>
        <v/>
      </c>
      <c r="X35" s="27" t="n"/>
      <c r="Y35" s="27" t="n"/>
      <c r="Z35" s="27" t="n"/>
      <c r="AA35" s="23" t="n"/>
      <c r="AB35" s="23" t="n"/>
      <c r="AC35" s="23" t="n"/>
      <c r="AD35" s="23" t="n"/>
      <c r="AE35" s="23" t="n"/>
      <c r="AF35" s="23" t="n"/>
    </row>
    <row r="36" ht="18" customHeight="1">
      <c r="A36" s="14" t="n"/>
      <c r="B36" s="15" t="inlineStr">
        <is>
          <t>LIPAN-5845</t>
        </is>
      </c>
      <c r="C36" s="16" t="n"/>
      <c r="D36" s="14" t="n"/>
      <c r="E36" s="14" t="n"/>
      <c r="F36" s="14" t="n"/>
      <c r="G36" s="14" t="n"/>
      <c r="H36" s="14" t="n"/>
      <c r="I36" s="14" t="n"/>
      <c r="J36" s="17" t="n"/>
      <c r="K36" s="17" t="n"/>
      <c r="L36" s="18" t="n"/>
      <c r="M36" s="18" t="n"/>
      <c r="N36" s="19" t="b">
        <v>0</v>
      </c>
      <c r="O36" s="14" t="n"/>
      <c r="P36" s="14" t="n"/>
      <c r="Q36" s="18" t="n"/>
      <c r="R36" s="14" t="n"/>
      <c r="S36" s="18" t="n"/>
      <c r="T36" s="20">
        <f>IF(Q36&gt;0,M36-Q36,"")</f>
        <v/>
      </c>
      <c r="U36" s="21">
        <f>IF(AND(T36&gt;0,Q36&gt;0),(Q36/T36)*100,"")</f>
        <v/>
      </c>
      <c r="V36" s="21">
        <f>IF(AND(T36&gt;0,S36&gt;0),(S36/T36)*100,"")</f>
        <v/>
      </c>
      <c r="W36" s="20">
        <f>IF(AND(J36&gt;0,L36&gt;0),(L36/(J36^3))*100,"")</f>
        <v/>
      </c>
      <c r="X36" s="22" t="n"/>
      <c r="Y36" s="22" t="n"/>
      <c r="Z36" s="22" t="n"/>
      <c r="AA36" s="14" t="n"/>
      <c r="AB36" s="14" t="n"/>
      <c r="AC36" s="14" t="n"/>
      <c r="AD36" s="14" t="n"/>
      <c r="AE36" s="14" t="n"/>
      <c r="AF36" s="14" t="n"/>
    </row>
    <row r="37" ht="18" customHeight="1">
      <c r="A37" s="23" t="n"/>
      <c r="B37" s="15" t="inlineStr">
        <is>
          <t>LIPAN-5846</t>
        </is>
      </c>
      <c r="C37" s="24" t="n"/>
      <c r="D37" s="23" t="n"/>
      <c r="E37" s="23" t="n"/>
      <c r="F37" s="23" t="n"/>
      <c r="G37" s="23" t="n"/>
      <c r="H37" s="23" t="n"/>
      <c r="I37" s="23" t="n"/>
      <c r="J37" s="25" t="n"/>
      <c r="K37" s="25" t="n"/>
      <c r="L37" s="26" t="n"/>
      <c r="M37" s="26" t="n"/>
      <c r="N37" s="19" t="b">
        <v>0</v>
      </c>
      <c r="O37" s="23" t="n"/>
      <c r="P37" s="23" t="n"/>
      <c r="Q37" s="26" t="n"/>
      <c r="R37" s="23" t="n"/>
      <c r="S37" s="26" t="n"/>
      <c r="T37" s="20">
        <f>IF(Q37&gt;0,M37-Q37,"")</f>
        <v/>
      </c>
      <c r="U37" s="21">
        <f>IF(AND(T37&gt;0,Q37&gt;0),(Q37/T37)*100,"")</f>
        <v/>
      </c>
      <c r="V37" s="21">
        <f>IF(AND(T37&gt;0,S37&gt;0),(S37/T37)*100,"")</f>
        <v/>
      </c>
      <c r="W37" s="20">
        <f>IF(AND(J37&gt;0,L37&gt;0),(L37/(J37^3))*100,"")</f>
        <v/>
      </c>
      <c r="X37" s="27" t="n"/>
      <c r="Y37" s="27" t="n"/>
      <c r="Z37" s="27" t="n"/>
      <c r="AA37" s="23" t="n"/>
      <c r="AB37" s="23" t="n"/>
      <c r="AC37" s="23" t="n"/>
      <c r="AD37" s="23" t="n"/>
      <c r="AE37" s="23" t="n"/>
      <c r="AF37" s="23" t="n"/>
    </row>
    <row r="38" ht="18" customHeight="1">
      <c r="A38" s="14" t="n"/>
      <c r="B38" s="15" t="inlineStr">
        <is>
          <t>LIPAN-5847</t>
        </is>
      </c>
      <c r="C38" s="16" t="n"/>
      <c r="D38" s="14" t="n"/>
      <c r="E38" s="14" t="n"/>
      <c r="F38" s="14" t="n"/>
      <c r="G38" s="14" t="n"/>
      <c r="H38" s="14" t="n"/>
      <c r="I38" s="14" t="n"/>
      <c r="J38" s="17" t="n"/>
      <c r="K38" s="17" t="n"/>
      <c r="L38" s="18" t="n"/>
      <c r="M38" s="18" t="n"/>
      <c r="N38" s="19" t="b">
        <v>0</v>
      </c>
      <c r="O38" s="14" t="n"/>
      <c r="P38" s="14" t="n"/>
      <c r="Q38" s="18" t="n"/>
      <c r="R38" s="14" t="n"/>
      <c r="S38" s="18" t="n"/>
      <c r="T38" s="20">
        <f>IF(Q38&gt;0,M38-Q38,"")</f>
        <v/>
      </c>
      <c r="U38" s="21">
        <f>IF(AND(T38&gt;0,Q38&gt;0),(Q38/T38)*100,"")</f>
        <v/>
      </c>
      <c r="V38" s="21">
        <f>IF(AND(T38&gt;0,S38&gt;0),(S38/T38)*100,"")</f>
        <v/>
      </c>
      <c r="W38" s="20">
        <f>IF(AND(J38&gt;0,L38&gt;0),(L38/(J38^3))*100,"")</f>
        <v/>
      </c>
      <c r="X38" s="22" t="n"/>
      <c r="Y38" s="22" t="n"/>
      <c r="Z38" s="22" t="n"/>
      <c r="AA38" s="14" t="n"/>
      <c r="AB38" s="14" t="n"/>
      <c r="AC38" s="14" t="n"/>
      <c r="AD38" s="14" t="n"/>
      <c r="AE38" s="14" t="n"/>
      <c r="AF38" s="14" t="n"/>
    </row>
    <row r="39" ht="18" customHeight="1">
      <c r="A39" s="23" t="n"/>
      <c r="B39" s="15" t="inlineStr">
        <is>
          <t>LIPAN-5848</t>
        </is>
      </c>
      <c r="C39" s="24" t="n"/>
      <c r="D39" s="23" t="n"/>
      <c r="E39" s="23" t="n"/>
      <c r="F39" s="23" t="n"/>
      <c r="G39" s="23" t="n"/>
      <c r="H39" s="23" t="n"/>
      <c r="I39" s="23" t="n"/>
      <c r="J39" s="25" t="n"/>
      <c r="K39" s="25" t="n"/>
      <c r="L39" s="26" t="n"/>
      <c r="M39" s="26" t="n"/>
      <c r="N39" s="19" t="b">
        <v>0</v>
      </c>
      <c r="O39" s="23" t="n"/>
      <c r="P39" s="23" t="n"/>
      <c r="Q39" s="26" t="n"/>
      <c r="R39" s="23" t="n"/>
      <c r="S39" s="26" t="n"/>
      <c r="T39" s="20">
        <f>IF(Q39&gt;0,M39-Q39,"")</f>
        <v/>
      </c>
      <c r="U39" s="21">
        <f>IF(AND(T39&gt;0,Q39&gt;0),(Q39/T39)*100,"")</f>
        <v/>
      </c>
      <c r="V39" s="21">
        <f>IF(AND(T39&gt;0,S39&gt;0),(S39/T39)*100,"")</f>
        <v/>
      </c>
      <c r="W39" s="20">
        <f>IF(AND(J39&gt;0,L39&gt;0),(L39/(J39^3))*100,"")</f>
        <v/>
      </c>
      <c r="X39" s="27" t="n"/>
      <c r="Y39" s="27" t="n"/>
      <c r="Z39" s="27" t="n"/>
      <c r="AA39" s="23" t="n"/>
      <c r="AB39" s="23" t="n"/>
      <c r="AC39" s="23" t="n"/>
      <c r="AD39" s="23" t="n"/>
      <c r="AE39" s="23" t="n"/>
      <c r="AF39" s="23" t="n"/>
    </row>
    <row r="40" ht="18" customHeight="1">
      <c r="A40" s="14" t="n"/>
      <c r="B40" s="15" t="inlineStr">
        <is>
          <t>LIPAN-5849</t>
        </is>
      </c>
      <c r="C40" s="16" t="n"/>
      <c r="D40" s="14" t="n"/>
      <c r="E40" s="14" t="n"/>
      <c r="F40" s="14" t="n"/>
      <c r="G40" s="14" t="n"/>
      <c r="H40" s="14" t="n"/>
      <c r="I40" s="14" t="n"/>
      <c r="J40" s="17" t="n"/>
      <c r="K40" s="17" t="n"/>
      <c r="L40" s="18" t="n"/>
      <c r="M40" s="18" t="n"/>
      <c r="N40" s="19" t="b">
        <v>0</v>
      </c>
      <c r="O40" s="14" t="n"/>
      <c r="P40" s="14" t="n"/>
      <c r="Q40" s="18" t="n"/>
      <c r="R40" s="14" t="n"/>
      <c r="S40" s="18" t="n"/>
      <c r="T40" s="20">
        <f>IF(Q40&gt;0,M40-Q40,"")</f>
        <v/>
      </c>
      <c r="U40" s="21">
        <f>IF(AND(T40&gt;0,Q40&gt;0),(Q40/T40)*100,"")</f>
        <v/>
      </c>
      <c r="V40" s="21">
        <f>IF(AND(T40&gt;0,S40&gt;0),(S40/T40)*100,"")</f>
        <v/>
      </c>
      <c r="W40" s="20">
        <f>IF(AND(J40&gt;0,L40&gt;0),(L40/(J40^3))*100,"")</f>
        <v/>
      </c>
      <c r="X40" s="22" t="n"/>
      <c r="Y40" s="22" t="n"/>
      <c r="Z40" s="22" t="n"/>
      <c r="AA40" s="14" t="n"/>
      <c r="AB40" s="14" t="n"/>
      <c r="AC40" s="14" t="n"/>
      <c r="AD40" s="14" t="n"/>
      <c r="AE40" s="14" t="n"/>
      <c r="AF40" s="14" t="n"/>
    </row>
    <row r="41" ht="18" customHeight="1">
      <c r="A41" s="23" t="n"/>
      <c r="B41" s="15" t="inlineStr">
        <is>
          <t>LIPAN-5850</t>
        </is>
      </c>
      <c r="C41" s="24" t="n"/>
      <c r="D41" s="23" t="n"/>
      <c r="E41" s="23" t="n"/>
      <c r="F41" s="23" t="n"/>
      <c r="G41" s="23" t="n"/>
      <c r="H41" s="23" t="n"/>
      <c r="I41" s="23" t="n"/>
      <c r="J41" s="25" t="n"/>
      <c r="K41" s="25" t="n"/>
      <c r="L41" s="26" t="n"/>
      <c r="M41" s="26" t="n"/>
      <c r="N41" s="19" t="b">
        <v>0</v>
      </c>
      <c r="O41" s="23" t="n"/>
      <c r="P41" s="23" t="n"/>
      <c r="Q41" s="26" t="n"/>
      <c r="R41" s="23" t="n"/>
      <c r="S41" s="26" t="n"/>
      <c r="T41" s="20">
        <f>IF(Q41&gt;0,M41-Q41,"")</f>
        <v/>
      </c>
      <c r="U41" s="21">
        <f>IF(AND(T41&gt;0,Q41&gt;0),(Q41/T41)*100,"")</f>
        <v/>
      </c>
      <c r="V41" s="21">
        <f>IF(AND(T41&gt;0,S41&gt;0),(S41/T41)*100,"")</f>
        <v/>
      </c>
      <c r="W41" s="20">
        <f>IF(AND(J41&gt;0,L41&gt;0),(L41/(J41^3))*100,"")</f>
        <v/>
      </c>
      <c r="X41" s="27" t="n"/>
      <c r="Y41" s="27" t="n"/>
      <c r="Z41" s="27" t="n"/>
      <c r="AA41" s="23" t="n"/>
      <c r="AB41" s="23" t="n"/>
      <c r="AC41" s="23" t="n"/>
      <c r="AD41" s="23" t="n"/>
      <c r="AE41" s="23" t="n"/>
      <c r="AF41" s="23" t="n"/>
    </row>
    <row r="42" ht="18" customHeight="1">
      <c r="A42" s="14" t="n"/>
      <c r="B42" s="15" t="inlineStr">
        <is>
          <t>LIPAN-5851</t>
        </is>
      </c>
      <c r="C42" s="16" t="n"/>
      <c r="D42" s="14" t="n"/>
      <c r="E42" s="14" t="n"/>
      <c r="F42" s="14" t="n"/>
      <c r="G42" s="14" t="n"/>
      <c r="H42" s="14" t="n"/>
      <c r="I42" s="14" t="n"/>
      <c r="J42" s="17" t="n"/>
      <c r="K42" s="17" t="n"/>
      <c r="L42" s="18" t="n"/>
      <c r="M42" s="18" t="n"/>
      <c r="N42" s="19" t="b">
        <v>0</v>
      </c>
      <c r="O42" s="14" t="n"/>
      <c r="P42" s="14" t="n"/>
      <c r="Q42" s="18" t="n"/>
      <c r="R42" s="14" t="n"/>
      <c r="S42" s="18" t="n"/>
      <c r="T42" s="20">
        <f>IF(Q42&gt;0,M42-Q42,"")</f>
        <v/>
      </c>
      <c r="U42" s="21">
        <f>IF(AND(T42&gt;0,Q42&gt;0),(Q42/T42)*100,"")</f>
        <v/>
      </c>
      <c r="V42" s="21">
        <f>IF(AND(T42&gt;0,S42&gt;0),(S42/T42)*100,"")</f>
        <v/>
      </c>
      <c r="W42" s="20">
        <f>IF(AND(J42&gt;0,L42&gt;0),(L42/(J42^3))*100,"")</f>
        <v/>
      </c>
      <c r="X42" s="22" t="n"/>
      <c r="Y42" s="22" t="n"/>
      <c r="Z42" s="22" t="n"/>
      <c r="AA42" s="14" t="n"/>
      <c r="AB42" s="14" t="n"/>
      <c r="AC42" s="14" t="n"/>
      <c r="AD42" s="14" t="n"/>
      <c r="AE42" s="14" t="n"/>
      <c r="AF42" s="14" t="n"/>
    </row>
    <row r="43" ht="18" customHeight="1">
      <c r="A43" s="23" t="n"/>
      <c r="B43" s="15" t="inlineStr">
        <is>
          <t>LIPAN-5852</t>
        </is>
      </c>
      <c r="C43" s="24" t="n"/>
      <c r="D43" s="23" t="n"/>
      <c r="E43" s="23" t="n"/>
      <c r="F43" s="23" t="n"/>
      <c r="G43" s="23" t="n"/>
      <c r="H43" s="23" t="n"/>
      <c r="I43" s="23" t="n"/>
      <c r="J43" s="25" t="n"/>
      <c r="K43" s="25" t="n"/>
      <c r="L43" s="26" t="n"/>
      <c r="M43" s="26" t="n"/>
      <c r="N43" s="19" t="b">
        <v>0</v>
      </c>
      <c r="O43" s="23" t="n"/>
      <c r="P43" s="23" t="n"/>
      <c r="Q43" s="26" t="n"/>
      <c r="R43" s="23" t="n"/>
      <c r="S43" s="26" t="n"/>
      <c r="T43" s="20">
        <f>IF(Q43&gt;0,M43-Q43,"")</f>
        <v/>
      </c>
      <c r="U43" s="21">
        <f>IF(AND(T43&gt;0,Q43&gt;0),(Q43/T43)*100,"")</f>
        <v/>
      </c>
      <c r="V43" s="21">
        <f>IF(AND(T43&gt;0,S43&gt;0),(S43/T43)*100,"")</f>
        <v/>
      </c>
      <c r="W43" s="20">
        <f>IF(AND(J43&gt;0,L43&gt;0),(L43/(J43^3))*100,"")</f>
        <v/>
      </c>
      <c r="X43" s="27" t="n"/>
      <c r="Y43" s="27" t="n"/>
      <c r="Z43" s="27" t="n"/>
      <c r="AA43" s="23" t="n"/>
      <c r="AB43" s="23" t="n"/>
      <c r="AC43" s="23" t="n"/>
      <c r="AD43" s="23" t="n"/>
      <c r="AE43" s="23" t="n"/>
      <c r="AF43" s="23" t="n"/>
    </row>
  </sheetData>
  <mergeCells count="2">
    <mergeCell ref="A1:AF1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7B6"/>
    <outlinePr summaryBelow="1" summaryRight="1"/>
    <pageSetUpPr/>
  </sheetPr>
  <dimension ref="A1:E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50" customWidth="1" min="4" max="4"/>
    <col width="40" customWidth="1" min="5" max="5"/>
  </cols>
  <sheetData>
    <row r="1" ht="24" customHeight="1">
      <c r="A1" s="28" t="inlineStr">
        <is>
          <t>Legenda Completa de Variáveis — FishRep LIPAN</t>
        </is>
      </c>
    </row>
    <row r="2">
      <c r="A2" s="29" t="inlineStr">
        <is>
          <t>Coluna</t>
        </is>
      </c>
      <c r="B2" s="29" t="inlineStr">
        <is>
          <t>Nome completo</t>
        </is>
      </c>
      <c r="C2" s="29" t="inlineStr">
        <is>
          <t>Unidade</t>
        </is>
      </c>
      <c r="D2" s="29" t="inlineStr">
        <is>
          <t>Descrição</t>
        </is>
      </c>
      <c r="E2" s="29" t="inlineStr">
        <is>
          <t>Valores aceitos</t>
        </is>
      </c>
    </row>
    <row r="3" ht="28" customHeight="1">
      <c r="A3" s="30" t="inlineStr">
        <is>
          <t>Item</t>
        </is>
      </c>
      <c r="B3" s="31" t="inlineStr">
        <is>
          <t>Número de campo</t>
        </is>
      </c>
      <c r="C3" s="32" t="inlineStr">
        <is>
          <t>—</t>
        </is>
      </c>
      <c r="D3" s="33" t="inlineStr">
        <is>
          <t>Número sequencial de campo por campanha (pode repetir entre anos)</t>
        </is>
      </c>
      <c r="E3" s="33" t="inlineStr">
        <is>
          <t>Inteiro</t>
        </is>
      </c>
    </row>
    <row r="4" ht="28" customHeight="1">
      <c r="A4" s="34" t="inlineStr">
        <is>
          <t>ID</t>
        </is>
      </c>
      <c r="B4" s="35" t="inlineStr">
        <is>
          <t>Identificador único</t>
        </is>
      </c>
      <c r="C4" s="36" t="inlineStr">
        <is>
          <t>—</t>
        </is>
      </c>
      <c r="D4" s="37" t="inlineStr">
        <is>
          <t>Código único global do espécime no banco FishRep</t>
        </is>
      </c>
      <c r="E4" s="37" t="inlineStr">
        <is>
          <t>LIPAN-001 a LIPAN-XXXX</t>
        </is>
      </c>
    </row>
    <row r="5" ht="28" customHeight="1">
      <c r="A5" s="30" t="inlineStr">
        <is>
          <t>Ano</t>
        </is>
      </c>
      <c r="B5" s="31" t="inlineStr">
        <is>
          <t>Ano de coleta</t>
        </is>
      </c>
      <c r="C5" s="32" t="inlineStr">
        <is>
          <t>—</t>
        </is>
      </c>
      <c r="D5" s="33" t="inlineStr">
        <is>
          <t>Ano do evento de captura</t>
        </is>
      </c>
      <c r="E5" s="33" t="inlineStr">
        <is>
          <t>ex: 2004, 2025, 2026</t>
        </is>
      </c>
    </row>
    <row r="6" ht="28" customHeight="1">
      <c r="A6" s="34" t="inlineStr">
        <is>
          <t>Date</t>
        </is>
      </c>
      <c r="B6" s="35" t="inlineStr">
        <is>
          <t>Data de coleta</t>
        </is>
      </c>
      <c r="C6" s="36" t="inlineStr">
        <is>
          <t>—</t>
        </is>
      </c>
      <c r="D6" s="37" t="inlineStr">
        <is>
          <t>Data completa do evento</t>
        </is>
      </c>
      <c r="E6" s="37" t="inlineStr">
        <is>
          <t>dd/mm/aaaa ou yyyy-mm-dd</t>
        </is>
      </c>
    </row>
    <row r="7" ht="28" customHeight="1">
      <c r="A7" s="30" t="inlineStr">
        <is>
          <t>Month</t>
        </is>
      </c>
      <c r="B7" s="31" t="inlineStr">
        <is>
          <t>Código do mês</t>
        </is>
      </c>
      <c r="C7" s="32" t="inlineStr">
        <is>
          <t>—</t>
        </is>
      </c>
      <c r="D7" s="33" t="inlineStr">
        <is>
          <t>Mês em formato código padronizado</t>
        </is>
      </c>
      <c r="E7" s="33" t="inlineStr">
        <is>
          <t>A.-Jan · B.-Fev · C.-Mar · D.-Abr · E.-Mai · F.-Jun · G.-Jul · H.-Ago · I.-Set · J.-Out · K.-Nov · L.-Dez</t>
        </is>
      </c>
    </row>
    <row r="8" ht="28" customHeight="1">
      <c r="A8" s="34" t="inlineStr">
        <is>
          <t>Locality</t>
        </is>
      </c>
      <c r="B8" s="35" t="inlineStr">
        <is>
          <t>Local de coleta</t>
        </is>
      </c>
      <c r="C8" s="36" t="inlineStr">
        <is>
          <t>—</t>
        </is>
      </c>
      <c r="D8" s="37" t="inlineStr">
        <is>
          <t>Ponto ou região de coleta</t>
        </is>
      </c>
      <c r="E8" s="37" t="inlineStr">
        <is>
          <t>ex: Paraguai/Cáceres · E. E. Taiamã</t>
        </is>
      </c>
    </row>
    <row r="9" ht="28" customHeight="1">
      <c r="A9" s="30" t="inlineStr">
        <is>
          <t>Coordinate</t>
        </is>
      </c>
      <c r="B9" s="31" t="inlineStr">
        <is>
          <t>Coordenada geográfica</t>
        </is>
      </c>
      <c r="C9" s="32" t="inlineStr">
        <is>
          <t>—</t>
        </is>
      </c>
      <c r="D9" s="33" t="inlineStr">
        <is>
          <t>Coordenada do ponto de coleta</t>
        </is>
      </c>
      <c r="E9" s="33" t="inlineStr">
        <is>
          <t>grau/min/seg ou decimal</t>
        </is>
      </c>
    </row>
    <row r="10" ht="28" customHeight="1">
      <c r="A10" s="34" t="inlineStr">
        <is>
          <t>Ordem</t>
        </is>
      </c>
      <c r="B10" s="35" t="inlineStr">
        <is>
          <t>Ordem taxonômica</t>
        </is>
      </c>
      <c r="C10" s="36" t="inlineStr">
        <is>
          <t>—</t>
        </is>
      </c>
      <c r="D10" s="37" t="inlineStr">
        <is>
          <t>Ordem de classificação do peixe</t>
        </is>
      </c>
      <c r="E10" s="37" t="inlineStr">
        <is>
          <t>Siluriformes / Characiformes</t>
        </is>
      </c>
    </row>
    <row r="11" ht="28" customHeight="1">
      <c r="A11" s="30" t="inlineStr">
        <is>
          <t>Specie</t>
        </is>
      </c>
      <c r="B11" s="31" t="inlineStr">
        <is>
          <t>Espécie</t>
        </is>
      </c>
      <c r="C11" s="32" t="inlineStr">
        <is>
          <t>—</t>
        </is>
      </c>
      <c r="D11" s="33" t="inlineStr">
        <is>
          <t>Nome científico completo</t>
        </is>
      </c>
      <c r="E11" s="33" t="inlineStr">
        <is>
          <t>ex: Salminus brasiliensis</t>
        </is>
      </c>
    </row>
    <row r="12" ht="28" customHeight="1">
      <c r="A12" s="34" t="inlineStr">
        <is>
          <t>CT</t>
        </is>
      </c>
      <c r="B12" s="35" t="inlineStr">
        <is>
          <t>Comprimento Total</t>
        </is>
      </c>
      <c r="C12" s="36" t="inlineStr">
        <is>
          <t>cm</t>
        </is>
      </c>
      <c r="D12" s="37" t="inlineStr">
        <is>
          <t>Da ponta do focinho até a extremidade da nadadeira caudal</t>
        </is>
      </c>
      <c r="E12" s="37" t="inlineStr">
        <is>
          <t>Número decimal. ex: 45.3</t>
        </is>
      </c>
    </row>
    <row r="13" ht="28" customHeight="1">
      <c r="A13" s="30" t="inlineStr">
        <is>
          <t>CP</t>
        </is>
      </c>
      <c r="B13" s="31" t="inlineStr">
        <is>
          <t>Comprimento Padrão</t>
        </is>
      </c>
      <c r="C13" s="32" t="inlineStr">
        <is>
          <t>cm</t>
        </is>
      </c>
      <c r="D13" s="33" t="inlineStr">
        <is>
          <t>Da ponta do focinho até o início da nadadeira caudal</t>
        </is>
      </c>
      <c r="E13" s="33" t="inlineStr">
        <is>
          <t>Número decimal. ex: 38.7</t>
        </is>
      </c>
    </row>
    <row r="14" ht="28" customHeight="1">
      <c r="A14" s="34" t="inlineStr">
        <is>
          <t>Peso total (g)</t>
        </is>
      </c>
      <c r="B14" s="35" t="inlineStr">
        <is>
          <t>Peso Total</t>
        </is>
      </c>
      <c r="C14" s="36" t="inlineStr">
        <is>
          <t>g</t>
        </is>
      </c>
      <c r="D14" s="37" t="inlineStr">
        <is>
          <t>Peso do animal inteiro antes de qualquer manipulação</t>
        </is>
      </c>
      <c r="E14" s="37" t="inlineStr">
        <is>
          <t>Número decimal. ex: 2350.00</t>
        </is>
      </c>
    </row>
    <row r="15" ht="28" customHeight="1">
      <c r="A15" s="30" t="inlineStr">
        <is>
          <t>Peso Evis (g)</t>
        </is>
      </c>
      <c r="B15" s="31" t="inlineStr">
        <is>
          <t>Peso Eviscerado</t>
        </is>
      </c>
      <c r="C15" s="32" t="inlineStr">
        <is>
          <t>g</t>
        </is>
      </c>
      <c r="D15" s="33" t="inlineStr">
        <is>
          <t>Peso após remoção das vísceras. Se não medido, estimar via RAZOES_PE_PT</t>
        </is>
      </c>
      <c r="E15" s="33" t="inlineStr">
        <is>
          <t>Número decimal. Se ausente → PE_estimado=TRUE</t>
        </is>
      </c>
    </row>
    <row r="16" ht="28" customHeight="1">
      <c r="A16" s="34" t="inlineStr">
        <is>
          <t>PE_estimado</t>
        </is>
      </c>
      <c r="B16" s="35" t="inlineStr">
        <is>
          <t>PE foi estimado?</t>
        </is>
      </c>
      <c r="C16" s="36" t="inlineStr">
        <is>
          <t>—</t>
        </is>
      </c>
      <c r="D16" s="37" t="inlineStr">
        <is>
          <t>Indica se o Peso Eviscerado foi estimado (TRUE) ou medido diretamente (FALSE)</t>
        </is>
      </c>
      <c r="E16" s="37" t="inlineStr">
        <is>
          <t>TRUE / FALSE</t>
        </is>
      </c>
    </row>
    <row r="17" ht="28" customHeight="1">
      <c r="A17" s="30" t="inlineStr">
        <is>
          <t>Sexo</t>
        </is>
      </c>
      <c r="B17" s="31" t="inlineStr">
        <is>
          <t>Sexo do animal</t>
        </is>
      </c>
      <c r="C17" s="32" t="inlineStr">
        <is>
          <t>—</t>
        </is>
      </c>
      <c r="D17" s="33" t="inlineStr">
        <is>
          <t>Determinado por inspeção macroscópica das gônadas</t>
        </is>
      </c>
      <c r="E17" s="33" t="inlineStr">
        <is>
          <t>F (fêmea) · M (macho) · - (indeterminado)</t>
        </is>
      </c>
    </row>
    <row r="18" ht="28" customHeight="1">
      <c r="A18" s="34" t="inlineStr">
        <is>
          <t>Rep Stage</t>
        </is>
      </c>
      <c r="B18" s="35" t="inlineStr">
        <is>
          <t>Estágio Gonadal</t>
        </is>
      </c>
      <c r="C18" s="36" t="inlineStr">
        <is>
          <t>—</t>
        </is>
      </c>
      <c r="D18" s="37" t="inlineStr">
        <is>
          <t>Estágio de maturação gonadal macroscópico</t>
        </is>
      </c>
      <c r="E18" s="37" t="inlineStr">
        <is>
          <t>REP (repouso) · ESV (em desenvolvimento) · MAT (maduro) · EMA (em desova)</t>
        </is>
      </c>
    </row>
    <row r="19" ht="28" customHeight="1">
      <c r="A19" s="30" t="inlineStr">
        <is>
          <t>Peso Gonada</t>
        </is>
      </c>
      <c r="B19" s="31" t="inlineStr">
        <is>
          <t>Peso da Gônada</t>
        </is>
      </c>
      <c r="C19" s="32" t="inlineStr">
        <is>
          <t>g</t>
        </is>
      </c>
      <c r="D19" s="33" t="inlineStr">
        <is>
          <t>Peso da gônada (ovário ou testículo)</t>
        </is>
      </c>
      <c r="E19" s="33" t="inlineStr">
        <is>
          <t>Número decimal. ex: 12.50</t>
        </is>
      </c>
    </row>
    <row r="20" ht="28" customHeight="1">
      <c r="A20" s="34" t="inlineStr">
        <is>
          <t>GR</t>
        </is>
      </c>
      <c r="B20" s="35" t="inlineStr">
        <is>
          <t>Grau de Repleção</t>
        </is>
      </c>
      <c r="C20" s="36" t="inlineStr">
        <is>
          <t>0-4</t>
        </is>
      </c>
      <c r="D20" s="37" t="inlineStr">
        <is>
          <t>Grau de preenchimento do estômago</t>
        </is>
      </c>
      <c r="E20" s="37" t="inlineStr">
        <is>
          <t>0 (vazio) · 1 · 2 · 3 · 4 (cheio)</t>
        </is>
      </c>
    </row>
    <row r="21" ht="28" customHeight="1">
      <c r="A21" s="30" t="inlineStr">
        <is>
          <t>Peso de Fígado</t>
        </is>
      </c>
      <c r="B21" s="31" t="inlineStr">
        <is>
          <t>Peso do Fígado</t>
        </is>
      </c>
      <c r="C21" s="32" t="inlineStr">
        <is>
          <t>g</t>
        </is>
      </c>
      <c r="D21" s="33" t="inlineStr">
        <is>
          <t>Peso do fígado</t>
        </is>
      </c>
      <c r="E21" s="33" t="inlineStr">
        <is>
          <t>Número decimal. ex: 8.30</t>
        </is>
      </c>
    </row>
    <row r="22" ht="28" customHeight="1">
      <c r="A22" s="34" t="inlineStr">
        <is>
          <t>Wc</t>
        </is>
      </c>
      <c r="B22" s="35" t="inlineStr">
        <is>
          <t>Peso de Condição</t>
        </is>
      </c>
      <c r="C22" s="36" t="inlineStr">
        <is>
          <t>g</t>
        </is>
      </c>
      <c r="D22" s="37" t="inlineStr">
        <is>
          <t>AUTO: Wc = Peso Eviscerado − Peso Gônada</t>
        </is>
      </c>
      <c r="E22" s="37" t="inlineStr">
        <is>
          <t>Calculado automaticamente pela fórmula</t>
        </is>
      </c>
    </row>
    <row r="23" ht="28" customHeight="1">
      <c r="A23" s="30" t="inlineStr">
        <is>
          <t>RGS1</t>
        </is>
      </c>
      <c r="B23" s="31" t="inlineStr">
        <is>
          <t>RGS / IGS</t>
        </is>
      </c>
      <c r="C23" s="32" t="inlineStr">
        <is>
          <t>%</t>
        </is>
      </c>
      <c r="D23" s="33" t="inlineStr">
        <is>
          <t>AUTO: Índice Gonadossomático = (PG/Wc)×100</t>
        </is>
      </c>
      <c r="E23" s="33" t="inlineStr">
        <is>
          <t>Calculado automaticamente</t>
        </is>
      </c>
    </row>
    <row r="24" ht="28" customHeight="1">
      <c r="A24" s="34" t="inlineStr">
        <is>
          <t>IHS</t>
        </is>
      </c>
      <c r="B24" s="35" t="inlineStr">
        <is>
          <t>IHS</t>
        </is>
      </c>
      <c r="C24" s="36" t="inlineStr">
        <is>
          <t>%</t>
        </is>
      </c>
      <c r="D24" s="37" t="inlineStr">
        <is>
          <t>AUTO: Índice Hepatossomático = (PF/Wc)×100</t>
        </is>
      </c>
      <c r="E24" s="37" t="inlineStr">
        <is>
          <t>Calculado automaticamente</t>
        </is>
      </c>
    </row>
    <row r="25" ht="28" customHeight="1">
      <c r="A25" s="30" t="inlineStr">
        <is>
          <t>K_fulton</t>
        </is>
      </c>
      <c r="B25" s="31" t="inlineStr">
        <is>
          <t>Fator de Condição K</t>
        </is>
      </c>
      <c r="C25" s="32" t="inlineStr">
        <is>
          <t>—</t>
        </is>
      </c>
      <c r="D25" s="33" t="inlineStr">
        <is>
          <t>AUTO: K = (PT/CT³)×100 — condição corporal geral</t>
        </is>
      </c>
      <c r="E25" s="33" t="inlineStr">
        <is>
          <t>Calculado automaticamente</t>
        </is>
      </c>
    </row>
    <row r="26" ht="28" customHeight="1">
      <c r="A26" s="34" t="inlineStr">
        <is>
          <t>Level river Aver (m)</t>
        </is>
      </c>
      <c r="B26" s="35" t="inlineStr">
        <is>
          <t>Nível médio do rio</t>
        </is>
      </c>
      <c r="C26" s="36" t="inlineStr">
        <is>
          <t>m</t>
        </is>
      </c>
      <c r="D26" s="37" t="inlineStr">
        <is>
          <t>Nível médio diário do rio Paraguai em Cáceres (estação ANA)</t>
        </is>
      </c>
      <c r="E26" s="37" t="inlineStr">
        <is>
          <t>Número decimal. ex: 2.450</t>
        </is>
      </c>
    </row>
    <row r="27" ht="28" customHeight="1">
      <c r="A27" s="30" t="inlineStr">
        <is>
          <t>Level river Max (m)</t>
        </is>
      </c>
      <c r="B27" s="31" t="inlineStr">
        <is>
          <t>Nível máximo do rio</t>
        </is>
      </c>
      <c r="C27" s="32" t="inlineStr">
        <is>
          <t>m</t>
        </is>
      </c>
      <c r="D27" s="33" t="inlineStr">
        <is>
          <t>Nível máximo diário do rio Paraguai</t>
        </is>
      </c>
      <c r="E27" s="33" t="inlineStr">
        <is>
          <t>Número decimal</t>
        </is>
      </c>
    </row>
    <row r="28" ht="28" customHeight="1">
      <c r="A28" s="34" t="inlineStr">
        <is>
          <t>Level river Min (m)</t>
        </is>
      </c>
      <c r="B28" s="35" t="inlineStr">
        <is>
          <t>Nível mínimo do rio</t>
        </is>
      </c>
      <c r="C28" s="36" t="inlineStr">
        <is>
          <t>m</t>
        </is>
      </c>
      <c r="D28" s="37" t="inlineStr">
        <is>
          <t>Nível mínimo diário do rio Paraguai</t>
        </is>
      </c>
      <c r="E28" s="37" t="inlineStr">
        <is>
          <t>Número decimal</t>
        </is>
      </c>
    </row>
    <row r="29" ht="28" customHeight="1">
      <c r="A29" s="30" t="inlineStr">
        <is>
          <t>X OD (mg/L)</t>
        </is>
      </c>
      <c r="B29" s="31" t="inlineStr">
        <is>
          <t>Oxigênio Dissolvido</t>
        </is>
      </c>
      <c r="C29" s="32" t="inlineStr">
        <is>
          <t>mg/L</t>
        </is>
      </c>
      <c r="D29" s="33" t="inlineStr">
        <is>
          <t>Concentração de OD no local de coleta</t>
        </is>
      </c>
      <c r="E29" s="33" t="inlineStr">
        <is>
          <t>Número decimal. ex: 6.42</t>
        </is>
      </c>
    </row>
    <row r="30" ht="28" customHeight="1">
      <c r="A30" s="34" t="inlineStr">
        <is>
          <t>X SAT (%)</t>
        </is>
      </c>
      <c r="B30" s="35" t="inlineStr">
        <is>
          <t>Saturação de O₂</t>
        </is>
      </c>
      <c r="C30" s="36" t="inlineStr">
        <is>
          <t>%</t>
        </is>
      </c>
      <c r="D30" s="37" t="inlineStr">
        <is>
          <t>Saturação de oxigênio</t>
        </is>
      </c>
      <c r="E30" s="37" t="inlineStr">
        <is>
          <t>Número decimal. ex: 78.5</t>
        </is>
      </c>
    </row>
    <row r="31" ht="28" customHeight="1">
      <c r="A31" s="30" t="inlineStr">
        <is>
          <t>X Temp (°C)</t>
        </is>
      </c>
      <c r="B31" s="31" t="inlineStr">
        <is>
          <t>Temperatura da água</t>
        </is>
      </c>
      <c r="C31" s="32" t="inlineStr">
        <is>
          <t>°C</t>
        </is>
      </c>
      <c r="D31" s="33" t="inlineStr">
        <is>
          <t>Temperatura da água no ponto de coleta</t>
        </is>
      </c>
      <c r="E31" s="33" t="inlineStr">
        <is>
          <t>Número decimal. ex: 28.3</t>
        </is>
      </c>
    </row>
    <row r="32" ht="28" customHeight="1">
      <c r="A32" s="34" t="inlineStr">
        <is>
          <t>X Cond (µS/cm)</t>
        </is>
      </c>
      <c r="B32" s="35" t="inlineStr">
        <is>
          <t>Condutividade elétrica</t>
        </is>
      </c>
      <c r="C32" s="36" t="inlineStr">
        <is>
          <t>µS/cm</t>
        </is>
      </c>
      <c r="D32" s="37" t="inlineStr">
        <is>
          <t>Condutividade elétrica específica</t>
        </is>
      </c>
      <c r="E32" s="37" t="inlineStr">
        <is>
          <t>Número decimal. ex: 87.4</t>
        </is>
      </c>
    </row>
    <row r="33" ht="28" customHeight="1">
      <c r="A33" s="30" t="inlineStr">
        <is>
          <t>X pH</t>
        </is>
      </c>
      <c r="B33" s="31" t="inlineStr">
        <is>
          <t>pH</t>
        </is>
      </c>
      <c r="C33" s="32" t="inlineStr">
        <is>
          <t>—</t>
        </is>
      </c>
      <c r="D33" s="33" t="inlineStr">
        <is>
          <t>pH da água</t>
        </is>
      </c>
      <c r="E33" s="33" t="inlineStr">
        <is>
          <t>Número decimal. ex: 6.8</t>
        </is>
      </c>
    </row>
    <row r="34" ht="28" customHeight="1">
      <c r="A34" s="34" t="inlineStr">
        <is>
          <t>X Transp (cm)</t>
        </is>
      </c>
      <c r="B34" s="35" t="inlineStr">
        <is>
          <t>Transparência Secchi</t>
        </is>
      </c>
      <c r="C34" s="36" t="inlineStr">
        <is>
          <t>cm</t>
        </is>
      </c>
      <c r="D34" s="37" t="inlineStr">
        <is>
          <t>Profundidade do disco de Secchi</t>
        </is>
      </c>
      <c r="E34" s="37" t="inlineStr">
        <is>
          <t>Número decimal. ex: 45.0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B21B6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8" customWidth="1" min="4" max="4"/>
    <col width="8" customWidth="1" min="5" max="5"/>
    <col width="8" customWidth="1" min="6" max="6"/>
    <col width="10" customWidth="1" min="7" max="7"/>
    <col width="44" customWidth="1" min="8" max="8"/>
  </cols>
  <sheetData>
    <row r="1" ht="22" customHeight="1">
      <c r="A1" s="38" t="inlineStr">
        <is>
          <t>Razões medianas PE/PT por espécie — para estimativa do Peso Eviscerado quando não medido</t>
        </is>
      </c>
    </row>
    <row r="2">
      <c r="A2" s="39" t="inlineStr">
        <is>
          <t>Espécie</t>
        </is>
      </c>
      <c r="B2" s="39" t="inlineStr">
        <is>
          <t>n (PE medido)</t>
        </is>
      </c>
      <c r="C2" s="39" t="inlineStr">
        <is>
          <t>Mediana PE/PT</t>
        </is>
      </c>
      <c r="D2" s="39" t="inlineStr">
        <is>
          <t>DP</t>
        </is>
      </c>
      <c r="E2" s="39" t="inlineStr">
        <is>
          <t>Min</t>
        </is>
      </c>
      <c r="F2" s="39" t="inlineStr">
        <is>
          <t>Max</t>
        </is>
      </c>
      <c r="G2" s="39" t="inlineStr">
        <is>
          <t>Respaldo</t>
        </is>
      </c>
      <c r="H2" s="39" t="inlineStr">
        <is>
          <t>Obs</t>
        </is>
      </c>
    </row>
    <row r="3">
      <c r="A3" s="40" t="inlineStr">
        <is>
          <t>Ageneiosus brevifilis</t>
        </is>
      </c>
      <c r="B3" s="40" t="n">
        <v>102</v>
      </c>
      <c r="C3" s="41" t="n">
        <v>0.8946</v>
      </c>
      <c r="D3" s="40" t="n">
        <v>0.0571</v>
      </c>
      <c r="E3" s="40" t="n">
        <v>0.6263</v>
      </c>
      <c r="F3" s="40" t="n">
        <v>0.9848</v>
      </c>
      <c r="G3" s="40" t="inlineStr">
        <is>
          <t>Alto</t>
        </is>
      </c>
      <c r="H3" s="40" t="inlineStr"/>
    </row>
    <row r="4">
      <c r="A4" s="42" t="inlineStr">
        <is>
          <t>Brycon hilarii</t>
        </is>
      </c>
      <c r="B4" s="42" t="n">
        <v>190</v>
      </c>
      <c r="C4" s="43" t="n">
        <v>0.8703</v>
      </c>
      <c r="D4" s="42" t="n">
        <v>0.0436</v>
      </c>
      <c r="E4" s="42" t="n">
        <v>0.7</v>
      </c>
      <c r="F4" s="42" t="n">
        <v>0.9756</v>
      </c>
      <c r="G4" s="42" t="inlineStr">
        <is>
          <t>Alto</t>
        </is>
      </c>
      <c r="H4" s="42" t="inlineStr"/>
    </row>
    <row r="5">
      <c r="A5" s="40" t="inlineStr">
        <is>
          <t>Colossoma macropomum</t>
        </is>
      </c>
      <c r="B5" s="40" t="n">
        <v>1</v>
      </c>
      <c r="C5" s="41" t="n">
        <v>0.8835</v>
      </c>
      <c r="D5" s="40" t="inlineStr">
        <is>
          <t>—</t>
        </is>
      </c>
      <c r="E5" s="40" t="n">
        <v>0.8835</v>
      </c>
      <c r="F5" s="40" t="n">
        <v>0.8835</v>
      </c>
      <c r="G5" s="44" t="inlineStr">
        <is>
          <t>Baixo</t>
        </is>
      </c>
      <c r="H5" s="40" t="inlineStr">
        <is>
          <t>n=1</t>
        </is>
      </c>
    </row>
    <row r="6">
      <c r="A6" s="42" t="inlineStr">
        <is>
          <t>Hemisorubim platyrhynchos</t>
        </is>
      </c>
      <c r="B6" s="42" t="n">
        <v>26</v>
      </c>
      <c r="C6" s="43" t="n">
        <v>0.8812</v>
      </c>
      <c r="D6" s="42" t="n">
        <v>0.07580000000000001</v>
      </c>
      <c r="E6" s="42" t="n">
        <v>0.5988</v>
      </c>
      <c r="F6" s="42" t="n">
        <v>0.9681</v>
      </c>
      <c r="G6" s="42" t="inlineStr">
        <is>
          <t>Médio</t>
        </is>
      </c>
      <c r="H6" s="42" t="inlineStr"/>
    </row>
    <row r="7">
      <c r="A7" s="40" t="inlineStr">
        <is>
          <t>Leporinus friderici</t>
        </is>
      </c>
      <c r="B7" s="40" t="n">
        <v>6</v>
      </c>
      <c r="C7" s="41" t="n">
        <v>0.8519</v>
      </c>
      <c r="D7" s="40" t="n">
        <v>0.014</v>
      </c>
      <c r="E7" s="40" t="n">
        <v>0.8275</v>
      </c>
      <c r="F7" s="40" t="n">
        <v>0.8718</v>
      </c>
      <c r="G7" s="44" t="inlineStr">
        <is>
          <t>Baixo</t>
        </is>
      </c>
      <c r="H7" s="40" t="inlineStr"/>
    </row>
    <row r="8">
      <c r="A8" s="42" t="inlineStr">
        <is>
          <t>Leporinus macrocephalus</t>
        </is>
      </c>
      <c r="B8" s="42" t="n">
        <v>0</v>
      </c>
      <c r="C8" s="43" t="n">
        <v>0.85</v>
      </c>
      <c r="D8" s="42" t="inlineStr">
        <is>
          <t>—</t>
        </is>
      </c>
      <c r="E8" s="42" t="inlineStr">
        <is>
          <t>—</t>
        </is>
      </c>
      <c r="F8" s="42" t="inlineStr">
        <is>
          <t>—</t>
        </is>
      </c>
      <c r="G8" s="45" t="inlineStr">
        <is>
          <t>Baixo</t>
        </is>
      </c>
      <c r="H8" s="42" t="inlineStr">
        <is>
          <t>Sem PE medido — baseado em L. friderici</t>
        </is>
      </c>
    </row>
    <row r="9">
      <c r="A9" s="40" t="inlineStr">
        <is>
          <t>Piaractus mesopotamicus</t>
        </is>
      </c>
      <c r="B9" s="40" t="n">
        <v>718</v>
      </c>
      <c r="C9" s="41" t="n">
        <v>0.7871</v>
      </c>
      <c r="D9" s="40" t="n">
        <v>0.0825</v>
      </c>
      <c r="E9" s="40" t="n">
        <v>0.5</v>
      </c>
      <c r="F9" s="40" t="n">
        <v>0.9728</v>
      </c>
      <c r="G9" s="40" t="inlineStr">
        <is>
          <t>Alto</t>
        </is>
      </c>
      <c r="H9" s="40" t="inlineStr">
        <is>
          <t>Maior n do dataset</t>
        </is>
      </c>
    </row>
    <row r="10">
      <c r="A10" s="42" t="inlineStr">
        <is>
          <t>Pimelodus ornatus</t>
        </is>
      </c>
      <c r="B10" s="42" t="n">
        <v>8</v>
      </c>
      <c r="C10" s="43" t="n">
        <v>0.8729</v>
      </c>
      <c r="D10" s="42" t="n">
        <v>0.0562</v>
      </c>
      <c r="E10" s="42" t="n">
        <v>0.7258</v>
      </c>
      <c r="F10" s="42" t="n">
        <v>0.9091</v>
      </c>
      <c r="G10" s="45" t="inlineStr">
        <is>
          <t>Baixo</t>
        </is>
      </c>
      <c r="H10" s="42" t="inlineStr"/>
    </row>
    <row r="11">
      <c r="A11" s="40" t="inlineStr">
        <is>
          <t>Pinirampus pirinampu</t>
        </is>
      </c>
      <c r="B11" s="40" t="n">
        <v>45</v>
      </c>
      <c r="C11" s="41" t="n">
        <v>0.8696</v>
      </c>
      <c r="D11" s="40" t="n">
        <v>0.0414</v>
      </c>
      <c r="E11" s="40" t="n">
        <v>0.7382</v>
      </c>
      <c r="F11" s="40" t="n">
        <v>0.9851</v>
      </c>
      <c r="G11" s="40" t="inlineStr">
        <is>
          <t>Médio</t>
        </is>
      </c>
      <c r="H11" s="40" t="inlineStr"/>
    </row>
    <row r="12">
      <c r="A12" s="42" t="inlineStr">
        <is>
          <t>Potamorhina squamoralevis</t>
        </is>
      </c>
      <c r="B12" s="42" t="n">
        <v>1</v>
      </c>
      <c r="C12" s="43" t="n">
        <v>0.8792</v>
      </c>
      <c r="D12" s="42" t="inlineStr">
        <is>
          <t>—</t>
        </is>
      </c>
      <c r="E12" s="42" t="n">
        <v>0.8792</v>
      </c>
      <c r="F12" s="42" t="n">
        <v>0.8792</v>
      </c>
      <c r="G12" s="45" t="inlineStr">
        <is>
          <t>Baixo</t>
        </is>
      </c>
      <c r="H12" s="42" t="inlineStr">
        <is>
          <t>n=1</t>
        </is>
      </c>
    </row>
    <row r="13">
      <c r="A13" s="40" t="inlineStr">
        <is>
          <t>Prochilodus lineatus</t>
        </is>
      </c>
      <c r="B13" s="40" t="n">
        <v>18</v>
      </c>
      <c r="C13" s="41" t="n">
        <v>0.8764</v>
      </c>
      <c r="D13" s="40" t="n">
        <v>0.0276</v>
      </c>
      <c r="E13" s="40" t="n">
        <v>0.8353</v>
      </c>
      <c r="F13" s="40" t="n">
        <v>0.9258999999999999</v>
      </c>
      <c r="G13" s="40" t="inlineStr">
        <is>
          <t>Médio</t>
        </is>
      </c>
      <c r="H13" s="40" t="inlineStr"/>
    </row>
    <row r="14">
      <c r="A14" s="42" t="inlineStr">
        <is>
          <t>Pseudoplatystoma corruscans</t>
        </is>
      </c>
      <c r="B14" s="42" t="n">
        <v>260</v>
      </c>
      <c r="C14" s="43" t="n">
        <v>0.8767</v>
      </c>
      <c r="D14" s="42" t="n">
        <v>0.0408</v>
      </c>
      <c r="E14" s="42" t="n">
        <v>0.433</v>
      </c>
      <c r="F14" s="42" t="n">
        <v>0.9829</v>
      </c>
      <c r="G14" s="42" t="inlineStr">
        <is>
          <t>Alto</t>
        </is>
      </c>
      <c r="H14" s="42" t="inlineStr"/>
    </row>
    <row r="15">
      <c r="A15" s="40" t="inlineStr">
        <is>
          <t>Pseudoplatystoma reticulatum</t>
        </is>
      </c>
      <c r="B15" s="40" t="n">
        <v>227</v>
      </c>
      <c r="C15" s="41" t="n">
        <v>0.861</v>
      </c>
      <c r="D15" s="40" t="n">
        <v>0.0346</v>
      </c>
      <c r="E15" s="40" t="n">
        <v>0.7023</v>
      </c>
      <c r="F15" s="40" t="n">
        <v>0.9647</v>
      </c>
      <c r="G15" s="40" t="inlineStr">
        <is>
          <t>Alto</t>
        </is>
      </c>
      <c r="H15" s="40" t="inlineStr"/>
    </row>
    <row r="16">
      <c r="A16" s="42" t="inlineStr">
        <is>
          <t>Rhaphiodon vulpinus</t>
        </is>
      </c>
      <c r="B16" s="42" t="n">
        <v>1</v>
      </c>
      <c r="C16" s="43" t="n">
        <v>0.9015</v>
      </c>
      <c r="D16" s="42" t="inlineStr">
        <is>
          <t>—</t>
        </is>
      </c>
      <c r="E16" s="42" t="n">
        <v>0.9015</v>
      </c>
      <c r="F16" s="42" t="n">
        <v>0.9015</v>
      </c>
      <c r="G16" s="45" t="inlineStr">
        <is>
          <t>Baixo</t>
        </is>
      </c>
      <c r="H16" s="42" t="inlineStr">
        <is>
          <t>n=1</t>
        </is>
      </c>
    </row>
    <row r="17">
      <c r="A17" s="40" t="inlineStr">
        <is>
          <t>Salminus brasiliensis</t>
        </is>
      </c>
      <c r="B17" s="40" t="n">
        <v>246</v>
      </c>
      <c r="C17" s="41" t="n">
        <v>0.883</v>
      </c>
      <c r="D17" s="40" t="n">
        <v>0.0774</v>
      </c>
      <c r="E17" s="40" t="n">
        <v>0.5</v>
      </c>
      <c r="F17" s="40" t="n">
        <v>0.9892</v>
      </c>
      <c r="G17" s="40" t="inlineStr">
        <is>
          <t>Alto</t>
        </is>
      </c>
      <c r="H17" s="40" t="inlineStr"/>
    </row>
    <row r="18">
      <c r="A18" s="42" t="inlineStr">
        <is>
          <t>Schizodon borellii</t>
        </is>
      </c>
      <c r="B18" s="42" t="n">
        <v>3</v>
      </c>
      <c r="C18" s="43" t="n">
        <v>0.8596</v>
      </c>
      <c r="D18" s="42" t="n">
        <v>0.0498</v>
      </c>
      <c r="E18" s="42" t="n">
        <v>0.8195</v>
      </c>
      <c r="F18" s="42" t="n">
        <v>0.9153</v>
      </c>
      <c r="G18" s="45" t="inlineStr">
        <is>
          <t>Baixo</t>
        </is>
      </c>
      <c r="H18" s="42" t="inlineStr"/>
    </row>
    <row r="19">
      <c r="A19" s="40" t="inlineStr">
        <is>
          <t>Sorubim lima</t>
        </is>
      </c>
      <c r="B19" s="40" t="n">
        <v>4</v>
      </c>
      <c r="C19" s="41" t="n">
        <v>0.8562</v>
      </c>
      <c r="D19" s="40" t="n">
        <v>0.0338</v>
      </c>
      <c r="E19" s="40" t="n">
        <v>0.8267</v>
      </c>
      <c r="F19" s="40" t="n">
        <v>0.8942</v>
      </c>
      <c r="G19" s="44" t="inlineStr">
        <is>
          <t>Baixo</t>
        </is>
      </c>
      <c r="H19" s="40" t="inlineStr"/>
    </row>
    <row r="20">
      <c r="A20" s="42" t="inlineStr">
        <is>
          <t>Tambacu</t>
        </is>
      </c>
      <c r="B20" s="42" t="n">
        <v>2</v>
      </c>
      <c r="C20" s="43" t="n">
        <v>0.842</v>
      </c>
      <c r="D20" s="42" t="n">
        <v>0.0169</v>
      </c>
      <c r="E20" s="42" t="n">
        <v>0.83</v>
      </c>
      <c r="F20" s="42" t="n">
        <v>0.8539</v>
      </c>
      <c r="G20" s="45" t="inlineStr">
        <is>
          <t>Baixo</t>
        </is>
      </c>
      <c r="H20" s="42" t="inlineStr">
        <is>
          <t>Híbrido</t>
        </is>
      </c>
    </row>
    <row r="21">
      <c r="A21" s="40" t="inlineStr">
        <is>
          <t>Zungaro jahu</t>
        </is>
      </c>
      <c r="B21" s="40" t="n">
        <v>40</v>
      </c>
      <c r="C21" s="41" t="n">
        <v>0.8633999999999999</v>
      </c>
      <c r="D21" s="40" t="n">
        <v>0.0338</v>
      </c>
      <c r="E21" s="40" t="n">
        <v>0.7853</v>
      </c>
      <c r="F21" s="40" t="n">
        <v>0.9799</v>
      </c>
      <c r="G21" s="40" t="inlineStr">
        <is>
          <t>Médio</t>
        </is>
      </c>
      <c r="H21" s="40" t="inlineStr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2026-05-27T14:23:39Z</dcterms:created>
  <dcterms:modified xmlns:dcterms="http://purl.org/dc/terms/" xmlns:xsi="http://www.w3.org/2001/XMLSchema-instance" xsi:type="dcterms:W3CDTF">2026-05-27T14:23:39Z</dcterms:modified>
</cp:coreProperties>
</file>