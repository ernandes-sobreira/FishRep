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xmlns:r="http://schemas.openxmlformats.org/officeDocument/2006/relationships" name="Inserir_Dado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FFF9C4"/>
      <sz val="9"/>
    </font>
    <font>
      <name val="Arial"/>
      <family val="2"/>
      <color rgb="FF1E3A5F"/>
      <sz val="10"/>
    </font>
    <font>
      <name val="Arial"/>
      <family val="2"/>
      <i val="1"/>
      <color rgb="FF5D4037"/>
      <sz val="10"/>
    </font>
    <font>
      <name val="Arial"/>
      <family val="2"/>
      <color rgb="FF065F46"/>
      <sz val="10"/>
    </font>
    <font>
      <name val="Calibri"/>
      <family val="2"/>
      <color theme="1"/>
      <sz val="11"/>
    </font>
    <font>
      <name val="Arial"/>
      <family val="2"/>
      <color theme="1"/>
      <sz val="9"/>
    </font>
    <font>
      <name val="Calibri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1E3A5F"/>
      </patternFill>
    </fill>
    <fill>
      <patternFill patternType="solid">
        <fgColor rgb="FF5D4037"/>
      </patternFill>
    </fill>
    <fill>
      <patternFill patternType="solid">
        <fgColor rgb="FF065F46"/>
      </patternFill>
    </fill>
    <fill>
      <patternFill patternType="solid">
        <fgColor rgb="FFFFFFFF"/>
      </patternFill>
    </fill>
    <fill>
      <patternFill patternType="solid">
        <fgColor rgb="FFFFF9C4"/>
      </patternFill>
    </fill>
    <fill>
      <patternFill patternType="solid">
        <fgColor rgb="FFECFDF5"/>
      </patternFill>
    </fill>
    <fill>
      <patternFill patternType="solid">
        <fgColor rgb="FFEBF5FF"/>
        <bgColor indexed="64"/>
      </patternFill>
    </fill>
  </fills>
  <borders count="3">
    <border>
      <left/>
      <right/>
      <top/>
      <bottom/>
      <diagonal/>
    </border>
    <border>
      <left style="thin">
        <color rgb="FFBFDBFE"/>
      </left>
      <right style="thin">
        <color rgb="FFBFDBFE"/>
      </right>
      <top/>
      <bottom style="thin">
        <color rgb="FFBFDBF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5" borderId="1" pivotButton="0" quotePrefix="0" xfId="0"/>
    <xf numFmtId="2" fontId="4" fillId="6" borderId="1" pivotButton="0" quotePrefix="0" xfId="0"/>
    <xf numFmtId="164" fontId="4" fillId="6" borderId="1" pivotButton="0" quotePrefix="0" xfId="0"/>
    <xf numFmtId="0" fontId="5" fillId="7" borderId="1" pivotButton="0" quotePrefix="0" xfId="0"/>
    <xf numFmtId="0" fontId="7" fillId="0" borderId="2" applyAlignment="1" pivotButton="0" quotePrefix="0" xfId="0">
      <alignment horizontal="right" wrapText="1"/>
    </xf>
    <xf numFmtId="0" fontId="7" fillId="0" borderId="2" applyAlignment="1" pivotButton="0" quotePrefix="0" xfId="0">
      <alignment wrapText="1"/>
    </xf>
    <xf numFmtId="22" fontId="7" fillId="0" borderId="2" applyAlignment="1" pivotButton="0" quotePrefix="0" xfId="0">
      <alignment horizontal="right" wrapText="1"/>
    </xf>
    <xf numFmtId="0" fontId="6" fillId="0" borderId="2" applyAlignment="1" pivotButton="0" quotePrefix="0" xfId="0">
      <alignment wrapText="1"/>
    </xf>
    <xf numFmtId="0" fontId="7" fillId="8" borderId="2" applyAlignment="1" pivotButton="0" quotePrefix="0" xfId="0">
      <alignment horizontal="right" wrapText="1"/>
    </xf>
    <xf numFmtId="0" fontId="7" fillId="8" borderId="2" applyAlignment="1" pivotButton="0" quotePrefix="0" xfId="0">
      <alignment wrapText="1"/>
    </xf>
    <xf numFmtId="22" fontId="7" fillId="8" borderId="2" applyAlignment="1" pivotButton="0" quotePrefix="0" xfId="0">
      <alignment horizontal="right" wrapText="1"/>
    </xf>
    <xf numFmtId="0" fontId="6" fillId="8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tabSelected="1"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4.85546875" bestFit="1" customWidth="1" min="4" max="4"/>
    <col width="9" customWidth="1" min="5" max="5"/>
    <col width="18" customWidth="1" min="6" max="6"/>
    <col width="22" customWidth="1" min="7" max="7"/>
    <col width="14" customWidth="1" min="8" max="8"/>
    <col width="26" customWidth="1" min="9" max="9"/>
    <col width="6" customWidth="1" min="10" max="11"/>
    <col width="10" customWidth="1" min="12" max="12"/>
    <col width="11" customWidth="1" min="13" max="13"/>
    <col width="5" customWidth="1" min="14" max="14"/>
    <col width="9" customWidth="1" min="15" max="15"/>
    <col width="10" customWidth="1" min="16" max="16"/>
    <col width="5" customWidth="1" min="17" max="17"/>
    <col width="12" customWidth="1" min="18" max="18"/>
    <col width="9" customWidth="1" min="19" max="19"/>
    <col width="7" customWidth="1" min="20" max="21"/>
    <col width="8" customWidth="1" min="22" max="22"/>
    <col width="14" customWidth="1" min="23" max="23"/>
    <col width="12" customWidth="1" min="24" max="25"/>
    <col width="10" customWidth="1" min="26" max="26"/>
    <col width="8" customWidth="1" min="27" max="27"/>
    <col width="9" customWidth="1" min="28" max="28"/>
    <col width="11" customWidth="1" min="29" max="29"/>
    <col width="6" customWidth="1" min="30" max="30"/>
    <col width="10" customWidth="1" min="31" max="31"/>
  </cols>
  <sheetData>
    <row r="1" ht="32.1" customHeight="1" thickBot="1">
      <c r="A1" s="1" t="inlineStr">
        <is>
          <t>Item</t>
        </is>
      </c>
      <c r="B1" s="1" t="inlineStr">
        <is>
          <t>ID</t>
        </is>
      </c>
      <c r="C1" s="1" t="inlineStr">
        <is>
          <t>Ano</t>
        </is>
      </c>
      <c r="D1" s="1" t="inlineStr">
        <is>
          <t>Date</t>
        </is>
      </c>
      <c r="E1" s="1" t="inlineStr">
        <is>
          <t>Month</t>
        </is>
      </c>
      <c r="F1" s="1" t="inlineStr">
        <is>
          <t>Locality</t>
        </is>
      </c>
      <c r="G1" s="1" t="inlineStr">
        <is>
          <t>Coordinate</t>
        </is>
      </c>
      <c r="H1" s="1" t="inlineStr">
        <is>
          <t>Ordem</t>
        </is>
      </c>
      <c r="I1" s="1" t="inlineStr">
        <is>
          <t>Specie</t>
        </is>
      </c>
      <c r="J1" s="1" t="inlineStr">
        <is>
          <t>CT</t>
        </is>
      </c>
      <c r="K1" s="1" t="inlineStr">
        <is>
          <t>CP</t>
        </is>
      </c>
      <c r="L1" s="1" t="inlineStr">
        <is>
          <t>Peso total (g)</t>
        </is>
      </c>
      <c r="M1" s="1" t="inlineStr">
        <is>
          <t>Peso Evis (g)</t>
        </is>
      </c>
      <c r="N1" s="1" t="inlineStr">
        <is>
          <t>Sexo</t>
        </is>
      </c>
      <c r="O1" s="1" t="inlineStr">
        <is>
          <t>Rep Stage</t>
        </is>
      </c>
      <c r="P1" s="1" t="inlineStr">
        <is>
          <t>Peso Gonada</t>
        </is>
      </c>
      <c r="Q1" s="1" t="inlineStr">
        <is>
          <t>GR</t>
        </is>
      </c>
      <c r="R1" s="1" t="inlineStr">
        <is>
          <t>Peso de Fígado</t>
        </is>
      </c>
      <c r="S1" s="2" t="inlineStr">
        <is>
          <t>Wc</t>
        </is>
      </c>
      <c r="T1" s="2" t="inlineStr">
        <is>
          <t>IGS</t>
        </is>
      </c>
      <c r="U1" s="2" t="inlineStr">
        <is>
          <t>IHS</t>
        </is>
      </c>
      <c r="V1" s="2" t="inlineStr">
        <is>
          <t>K_fulton</t>
        </is>
      </c>
      <c r="W1" s="3" t="inlineStr">
        <is>
          <t>Level river Aver (m)</t>
        </is>
      </c>
      <c r="X1" s="3" t="inlineStr">
        <is>
          <t>Level river Max (m)</t>
        </is>
      </c>
      <c r="Y1" s="3" t="inlineStr">
        <is>
          <t>Level river Min (m)</t>
        </is>
      </c>
      <c r="Z1" s="1" t="inlineStr">
        <is>
          <t>X OD (mg/L)</t>
        </is>
      </c>
      <c r="AA1" s="1" t="inlineStr">
        <is>
          <t>X SAT (%)</t>
        </is>
      </c>
      <c r="AB1" s="1" t="inlineStr">
        <is>
          <t>X Temp (°C)</t>
        </is>
      </c>
      <c r="AC1" s="1" t="inlineStr">
        <is>
          <t>X Cond (µS/cm)</t>
        </is>
      </c>
      <c r="AD1" s="1" t="inlineStr">
        <is>
          <t>X pH</t>
        </is>
      </c>
      <c r="AE1" s="1" t="inlineStr">
        <is>
          <t>X Transp (cm)</t>
        </is>
      </c>
    </row>
    <row r="2" ht="17.1" customHeight="1" thickBot="1">
      <c r="A2" s="12" t="n">
        <v>2728</v>
      </c>
      <c r="B2" s="13" t="inlineStr">
        <is>
          <t>LIPAN-5823</t>
        </is>
      </c>
      <c r="C2" s="12" t="n">
        <v>2016</v>
      </c>
      <c r="D2" s="14" t="n">
        <v>42520</v>
      </c>
      <c r="E2" s="13" t="inlineStr">
        <is>
          <t>E.-Mai</t>
        </is>
      </c>
      <c r="F2" s="13" t="inlineStr">
        <is>
          <t>E. E. Taiamã</t>
        </is>
      </c>
      <c r="G2" s="13" t="inlineStr">
        <is>
          <t>16º 48' 01,35" | 57° 39' 22,89"</t>
        </is>
      </c>
      <c r="H2" s="13" t="inlineStr">
        <is>
          <t>Characiformes</t>
        </is>
      </c>
      <c r="I2" s="13" t="inlineStr">
        <is>
          <t>Piaractus mesopotamicus</t>
        </is>
      </c>
      <c r="J2" s="12" t="n">
        <v>44.8</v>
      </c>
      <c r="K2" s="15" t="n"/>
      <c r="L2" s="12" t="n">
        <v>1980</v>
      </c>
      <c r="M2" s="12" t="n">
        <v>1560</v>
      </c>
      <c r="N2" s="13" t="inlineStr">
        <is>
          <t>M</t>
        </is>
      </c>
      <c r="O2" s="13" t="inlineStr">
        <is>
          <t>REP</t>
        </is>
      </c>
      <c r="P2" s="12" t="n">
        <v>1.25</v>
      </c>
      <c r="Q2" s="12" t="n">
        <v>3</v>
      </c>
      <c r="R2" s="12" t="n">
        <v>15</v>
      </c>
      <c r="S2" s="5">
        <f>IF(AND(M2&gt;0,P2&gt;0),M2-P2,"")</f>
        <v/>
      </c>
      <c r="T2" s="6">
        <f>IF(AND(L2&gt;0,P2&gt;0),(P2/L2)*100,"")</f>
        <v/>
      </c>
      <c r="U2" s="6">
        <f>IF(AND(L2&gt;0,R2&gt;0),(R2/L2)*100,"")</f>
        <v/>
      </c>
      <c r="V2" s="5">
        <f>IF(AND(J2&gt;0,L2&gt;0),(L2/(J2^3))*100,"")</f>
        <v/>
      </c>
      <c r="W2" s="7" t="n">
        <v>2.65</v>
      </c>
      <c r="X2" s="7" t="n">
        <v>3.53</v>
      </c>
      <c r="Y2" s="7" t="n">
        <v>2.17</v>
      </c>
      <c r="Z2" s="4" t="n">
        <v>6.46</v>
      </c>
      <c r="AA2" s="4" t="n"/>
      <c r="AB2" s="4" t="n">
        <v>26.53</v>
      </c>
      <c r="AC2" s="4" t="n">
        <v>0.023</v>
      </c>
      <c r="AD2" s="4" t="n">
        <v>6.207</v>
      </c>
      <c r="AE2" s="4" t="n">
        <v>42</v>
      </c>
    </row>
    <row r="3" ht="17.1" customHeight="1" thickBot="1">
      <c r="A3" s="8" t="n">
        <v>2729</v>
      </c>
      <c r="B3" s="9" t="inlineStr">
        <is>
          <t>LIPAN-5824</t>
        </is>
      </c>
      <c r="C3" s="8" t="n">
        <v>2016</v>
      </c>
      <c r="D3" s="10" t="n">
        <v>42520</v>
      </c>
      <c r="E3" s="9" t="inlineStr">
        <is>
          <t>E.-Mai</t>
        </is>
      </c>
      <c r="F3" s="9" t="inlineStr">
        <is>
          <t>E. E. Taiamã</t>
        </is>
      </c>
      <c r="G3" s="9" t="inlineStr">
        <is>
          <t>16º 48' 01,35" | 57° 39' 22,89"</t>
        </is>
      </c>
      <c r="H3" s="9" t="inlineStr">
        <is>
          <t>Characiformes</t>
        </is>
      </c>
      <c r="I3" s="9" t="inlineStr">
        <is>
          <t>Piaractus mesopotamicus</t>
        </is>
      </c>
      <c r="J3" s="8" t="n">
        <v>46.2</v>
      </c>
      <c r="K3" s="11" t="n"/>
      <c r="L3" s="8" t="n">
        <v>2230</v>
      </c>
      <c r="M3" s="8" t="n">
        <v>1760</v>
      </c>
      <c r="N3" s="9" t="inlineStr">
        <is>
          <t>M</t>
        </is>
      </c>
      <c r="O3" s="9" t="inlineStr">
        <is>
          <t>REP</t>
        </is>
      </c>
      <c r="P3" s="8" t="n">
        <v>1.06</v>
      </c>
      <c r="Q3" s="8" t="n">
        <v>2</v>
      </c>
      <c r="R3" s="8" t="n">
        <v>16</v>
      </c>
      <c r="S3" s="5">
        <f>IF(AND(M3&gt;0,P3&gt;0),M3-P3,"")</f>
        <v/>
      </c>
      <c r="T3" s="6">
        <f>IF(AND(L3&gt;0,P3&gt;0),(P3/L3)*100,"")</f>
        <v/>
      </c>
      <c r="U3" s="6">
        <f>IF(AND(L3&gt;0,R3&gt;0),(R3/L3)*100,"")</f>
        <v/>
      </c>
      <c r="V3" s="5">
        <f>IF(AND(J3&gt;0,L3&gt;0),(L3/(J3^3))*100,"")</f>
        <v/>
      </c>
      <c r="W3" s="7" t="n">
        <v>2.65</v>
      </c>
      <c r="X3" s="7" t="n">
        <v>3.53</v>
      </c>
      <c r="Y3" s="7" t="n">
        <v>2.17</v>
      </c>
      <c r="Z3" s="4" t="n">
        <v>6.46</v>
      </c>
      <c r="AA3" s="4" t="n"/>
      <c r="AB3" s="4" t="n">
        <v>26.53</v>
      </c>
      <c r="AC3" s="4" t="n">
        <v>0.023</v>
      </c>
      <c r="AD3" s="4" t="n">
        <v>6.207</v>
      </c>
      <c r="AE3" s="4" t="n">
        <v>42</v>
      </c>
    </row>
    <row r="4" ht="17.1" customHeight="1" thickBot="1">
      <c r="A4" s="12" t="n">
        <v>2730</v>
      </c>
      <c r="B4" s="13" t="inlineStr">
        <is>
          <t>LIPAN-5825</t>
        </is>
      </c>
      <c r="C4" s="12" t="n">
        <v>2016</v>
      </c>
      <c r="D4" s="14" t="n">
        <v>42520</v>
      </c>
      <c r="E4" s="13" t="inlineStr">
        <is>
          <t>E.-Mai</t>
        </is>
      </c>
      <c r="F4" s="13" t="inlineStr">
        <is>
          <t>E. E. Taiamã</t>
        </is>
      </c>
      <c r="G4" s="13" t="inlineStr">
        <is>
          <t>16º 48' 01,35" | 57° 39' 22,89"</t>
        </is>
      </c>
      <c r="H4" s="13" t="inlineStr">
        <is>
          <t>Characiformes</t>
        </is>
      </c>
      <c r="I4" s="13" t="inlineStr">
        <is>
          <t>Piaractus mesopotamicus</t>
        </is>
      </c>
      <c r="J4" s="12" t="n">
        <v>41.9</v>
      </c>
      <c r="K4" s="15" t="n"/>
      <c r="L4" s="12" t="n">
        <v>2180</v>
      </c>
      <c r="M4" s="12" t="n">
        <v>1720</v>
      </c>
      <c r="N4" s="13" t="inlineStr">
        <is>
          <t>M</t>
        </is>
      </c>
      <c r="O4" s="13" t="inlineStr">
        <is>
          <t>REP</t>
        </is>
      </c>
      <c r="P4" s="12" t="n">
        <v>0.4</v>
      </c>
      <c r="Q4" s="12" t="n">
        <v>3</v>
      </c>
      <c r="R4" s="12" t="n">
        <v>21</v>
      </c>
      <c r="S4" s="5">
        <f>IF(AND(M4&gt;0,P4&gt;0),M4-P4,"")</f>
        <v/>
      </c>
      <c r="T4" s="6">
        <f>IF(AND(L4&gt;0,P4&gt;0),(P4/L4)*100,"")</f>
        <v/>
      </c>
      <c r="U4" s="6">
        <f>IF(AND(L4&gt;0,R4&gt;0),(R4/L4)*100,"")</f>
        <v/>
      </c>
      <c r="V4" s="5">
        <f>IF(AND(J4&gt;0,L4&gt;0),(L4/(J4^3))*100,"")</f>
        <v/>
      </c>
      <c r="W4" s="7" t="n">
        <v>2.65</v>
      </c>
      <c r="X4" s="7" t="n">
        <v>3.53</v>
      </c>
      <c r="Y4" s="7" t="n">
        <v>2.17</v>
      </c>
      <c r="Z4" s="4" t="n">
        <v>6.46</v>
      </c>
      <c r="AA4" s="4" t="n"/>
      <c r="AB4" s="4" t="n">
        <v>26.53</v>
      </c>
      <c r="AC4" s="4" t="n">
        <v>0.023</v>
      </c>
      <c r="AD4" s="4" t="n">
        <v>6.207</v>
      </c>
      <c r="AE4" s="4" t="n">
        <v>42</v>
      </c>
    </row>
    <row r="5" ht="17.1" customHeight="1" thickBot="1">
      <c r="A5" s="8" t="n">
        <v>2731</v>
      </c>
      <c r="B5" s="9" t="inlineStr">
        <is>
          <t>LIPAN-5826</t>
        </is>
      </c>
      <c r="C5" s="8" t="n">
        <v>2016</v>
      </c>
      <c r="D5" s="10" t="n">
        <v>42520</v>
      </c>
      <c r="E5" s="9" t="inlineStr">
        <is>
          <t>E.-Mai</t>
        </is>
      </c>
      <c r="F5" s="9" t="inlineStr">
        <is>
          <t>E. E. Taiamã</t>
        </is>
      </c>
      <c r="G5" s="9" t="inlineStr">
        <is>
          <t>16º 48' 01,35" | 57° 39' 22,89"</t>
        </is>
      </c>
      <c r="H5" s="9" t="inlineStr">
        <is>
          <t>Characiformes</t>
        </is>
      </c>
      <c r="I5" s="9" t="inlineStr">
        <is>
          <t>Piaractus mesopotamicus</t>
        </is>
      </c>
      <c r="J5" s="8" t="n">
        <v>42.2</v>
      </c>
      <c r="K5" s="11" t="n"/>
      <c r="L5" s="8" t="n">
        <v>1810</v>
      </c>
      <c r="M5" s="8" t="n">
        <v>1420</v>
      </c>
      <c r="N5" s="9" t="inlineStr">
        <is>
          <t>M</t>
        </is>
      </c>
      <c r="O5" s="9" t="inlineStr">
        <is>
          <t>REP</t>
        </is>
      </c>
      <c r="P5" s="8" t="n">
        <v>0.61</v>
      </c>
      <c r="Q5" s="8" t="n">
        <v>2</v>
      </c>
      <c r="R5" s="8" t="n">
        <v>17</v>
      </c>
      <c r="S5" s="5">
        <f>IF(AND(M5&gt;0,P5&gt;0),M5-P5,"")</f>
        <v/>
      </c>
      <c r="T5" s="6">
        <f>IF(AND(L5&gt;0,P5&gt;0),(P5/L5)*100,"")</f>
        <v/>
      </c>
      <c r="U5" s="6">
        <f>IF(AND(L5&gt;0,R5&gt;0),(R5/L5)*100,"")</f>
        <v/>
      </c>
      <c r="V5" s="5">
        <f>IF(AND(J5&gt;0,L5&gt;0),(L5/(J5^3))*100,"")</f>
        <v/>
      </c>
      <c r="W5" s="7" t="n">
        <v>2.65</v>
      </c>
      <c r="X5" s="7" t="n">
        <v>3.53</v>
      </c>
      <c r="Y5" s="7" t="n">
        <v>2.17</v>
      </c>
      <c r="Z5" s="4" t="n">
        <v>6.46</v>
      </c>
      <c r="AA5" s="4" t="n"/>
      <c r="AB5" s="4" t="n">
        <v>26.53</v>
      </c>
      <c r="AC5" s="4" t="n">
        <v>0.023</v>
      </c>
      <c r="AD5" s="4" t="n">
        <v>6.207</v>
      </c>
      <c r="AE5" s="4" t="n">
        <v>42</v>
      </c>
    </row>
    <row r="6" ht="17.1" customHeight="1" thickBot="1">
      <c r="A6" s="12" t="n">
        <v>2732</v>
      </c>
      <c r="B6" s="13" t="inlineStr">
        <is>
          <t>LIPAN-5827</t>
        </is>
      </c>
      <c r="C6" s="12" t="n">
        <v>2016</v>
      </c>
      <c r="D6" s="14" t="n">
        <v>42520</v>
      </c>
      <c r="E6" s="13" t="inlineStr">
        <is>
          <t>E.-Mai</t>
        </is>
      </c>
      <c r="F6" s="13" t="inlineStr">
        <is>
          <t>E. E. Taiamã</t>
        </is>
      </c>
      <c r="G6" s="13" t="inlineStr">
        <is>
          <t>16º 48' 01,35" | 57° 39' 22,89"</t>
        </is>
      </c>
      <c r="H6" s="13" t="inlineStr">
        <is>
          <t>Characiformes</t>
        </is>
      </c>
      <c r="I6" s="13" t="inlineStr">
        <is>
          <t>Piaractus mesopotamicus</t>
        </is>
      </c>
      <c r="J6" s="12" t="n">
        <v>46.1</v>
      </c>
      <c r="K6" s="15" t="n"/>
      <c r="L6" s="12" t="n">
        <v>3020</v>
      </c>
      <c r="M6" s="12" t="n">
        <v>2380</v>
      </c>
      <c r="N6" s="13" t="inlineStr">
        <is>
          <t>F</t>
        </is>
      </c>
      <c r="O6" s="13" t="inlineStr">
        <is>
          <t>REP</t>
        </is>
      </c>
      <c r="P6" s="12" t="n">
        <v>9.279999999999999</v>
      </c>
      <c r="Q6" s="12" t="n">
        <v>3</v>
      </c>
      <c r="R6" s="12" t="n">
        <v>30</v>
      </c>
      <c r="S6" s="5">
        <f>IF(AND(M6&gt;0,P6&gt;0),M6-P6,"")</f>
        <v/>
      </c>
      <c r="T6" s="6">
        <f>IF(AND(L6&gt;0,P6&gt;0),(P6/L6)*100,"")</f>
        <v/>
      </c>
      <c r="U6" s="6">
        <f>IF(AND(L6&gt;0,R6&gt;0),(R6/L6)*100,"")</f>
        <v/>
      </c>
      <c r="V6" s="5">
        <f>IF(AND(J6&gt;0,L6&gt;0),(L6/(J6^3))*100,"")</f>
        <v/>
      </c>
      <c r="W6" s="7" t="n">
        <v>2.65</v>
      </c>
      <c r="X6" s="7" t="n">
        <v>3.53</v>
      </c>
      <c r="Y6" s="7" t="n">
        <v>2.17</v>
      </c>
      <c r="Z6" s="4" t="n">
        <v>6.46</v>
      </c>
      <c r="AA6" s="4" t="n"/>
      <c r="AB6" s="4" t="n">
        <v>26.53</v>
      </c>
      <c r="AC6" s="4" t="n">
        <v>0.023</v>
      </c>
      <c r="AD6" s="4" t="n">
        <v>6.207</v>
      </c>
      <c r="AE6" s="4" t="n">
        <v>42</v>
      </c>
    </row>
    <row r="7" ht="17.1" customHeight="1" thickBot="1">
      <c r="A7" s="8" t="n">
        <v>2733</v>
      </c>
      <c r="B7" s="9" t="inlineStr">
        <is>
          <t>LIPAN-5828</t>
        </is>
      </c>
      <c r="C7" s="8" t="n">
        <v>2016</v>
      </c>
      <c r="D7" s="10" t="n">
        <v>42520</v>
      </c>
      <c r="E7" s="9" t="inlineStr">
        <is>
          <t>E.-Mai</t>
        </is>
      </c>
      <c r="F7" s="9" t="inlineStr">
        <is>
          <t>E. E. Taiamã</t>
        </is>
      </c>
      <c r="G7" s="9" t="inlineStr">
        <is>
          <t>16º 48' 01,35" | 57° 39' 22,89"</t>
        </is>
      </c>
      <c r="H7" s="9" t="inlineStr">
        <is>
          <t>Characiformes</t>
        </is>
      </c>
      <c r="I7" s="9" t="inlineStr">
        <is>
          <t>Piaractus mesopotamicus</t>
        </is>
      </c>
      <c r="J7" s="8" t="n">
        <v>41.7</v>
      </c>
      <c r="K7" s="11" t="n"/>
      <c r="L7" s="8" t="n">
        <v>1790</v>
      </c>
      <c r="M7" s="8" t="n">
        <v>1410</v>
      </c>
      <c r="N7" s="9" t="inlineStr">
        <is>
          <t>M</t>
        </is>
      </c>
      <c r="O7" s="9" t="inlineStr">
        <is>
          <t>REP</t>
        </is>
      </c>
      <c r="P7" s="8" t="n">
        <v>0.6899999999999999</v>
      </c>
      <c r="Q7" s="8" t="n">
        <v>2</v>
      </c>
      <c r="R7" s="8" t="n">
        <v>25</v>
      </c>
      <c r="S7" s="5">
        <f>IF(AND(M7&gt;0,P7&gt;0),M7-P7,"")</f>
        <v/>
      </c>
      <c r="T7" s="6">
        <f>IF(AND(L7&gt;0,P7&gt;0),(P7/L7)*100,"")</f>
        <v/>
      </c>
      <c r="U7" s="6">
        <f>IF(AND(L7&gt;0,R7&gt;0),(R7/L7)*100,"")</f>
        <v/>
      </c>
      <c r="V7" s="5">
        <f>IF(AND(J7&gt;0,L7&gt;0),(L7/(J7^3))*100,"")</f>
        <v/>
      </c>
      <c r="W7" s="7" t="n">
        <v>2.65</v>
      </c>
      <c r="X7" s="7" t="n">
        <v>3.53</v>
      </c>
      <c r="Y7" s="7" t="n">
        <v>2.17</v>
      </c>
      <c r="Z7" s="4" t="n">
        <v>6.46</v>
      </c>
      <c r="AA7" s="4" t="n"/>
      <c r="AB7" s="4" t="n">
        <v>26.53</v>
      </c>
      <c r="AC7" s="4" t="n">
        <v>0.023</v>
      </c>
      <c r="AD7" s="4" t="n">
        <v>6.207</v>
      </c>
      <c r="AE7" s="4" t="n">
        <v>42</v>
      </c>
    </row>
    <row r="8" ht="17.1" customHeight="1" thickBot="1">
      <c r="A8" s="12" t="n">
        <v>2734</v>
      </c>
      <c r="B8" s="13" t="inlineStr">
        <is>
          <t>LIPAN-5829</t>
        </is>
      </c>
      <c r="C8" s="12" t="n">
        <v>2016</v>
      </c>
      <c r="D8" s="14" t="n">
        <v>42520</v>
      </c>
      <c r="E8" s="13" t="inlineStr">
        <is>
          <t>E.-Mai</t>
        </is>
      </c>
      <c r="F8" s="13" t="inlineStr">
        <is>
          <t>E. E. Taiamã</t>
        </is>
      </c>
      <c r="G8" s="13" t="inlineStr">
        <is>
          <t>16º 48' 01,35" | 57° 39' 22,89"</t>
        </is>
      </c>
      <c r="H8" s="13" t="inlineStr">
        <is>
          <t>Characiformes</t>
        </is>
      </c>
      <c r="I8" s="13" t="inlineStr">
        <is>
          <t>Piaractus mesopotamicus</t>
        </is>
      </c>
      <c r="J8" s="12" t="n">
        <v>44.4</v>
      </c>
      <c r="K8" s="15" t="n"/>
      <c r="L8" s="12" t="n">
        <v>2260</v>
      </c>
      <c r="M8" s="12" t="n">
        <v>1780</v>
      </c>
      <c r="N8" s="13" t="inlineStr">
        <is>
          <t>F</t>
        </is>
      </c>
      <c r="O8" s="13" t="inlineStr">
        <is>
          <t>REP</t>
        </is>
      </c>
      <c r="P8" s="12" t="n">
        <v>8.76</v>
      </c>
      <c r="Q8" s="12" t="n">
        <v>3</v>
      </c>
      <c r="R8" s="12" t="n">
        <v>23</v>
      </c>
      <c r="S8" s="5">
        <f>IF(AND(M8&gt;0,P8&gt;0),M8-P8,"")</f>
        <v/>
      </c>
      <c r="T8" s="6">
        <f>IF(AND(L8&gt;0,P8&gt;0),(P8/L8)*100,"")</f>
        <v/>
      </c>
      <c r="U8" s="6">
        <f>IF(AND(L8&gt;0,R8&gt;0),(R8/L8)*100,"")</f>
        <v/>
      </c>
      <c r="V8" s="5">
        <f>IF(AND(J8&gt;0,L8&gt;0),(L8/(J8^3))*100,"")</f>
        <v/>
      </c>
      <c r="W8" s="7" t="n">
        <v>2.65</v>
      </c>
      <c r="X8" s="7" t="n">
        <v>3.53</v>
      </c>
      <c r="Y8" s="7" t="n">
        <v>2.17</v>
      </c>
      <c r="Z8" s="4" t="n">
        <v>6.46</v>
      </c>
      <c r="AA8" s="4" t="n"/>
      <c r="AB8" s="4" t="n">
        <v>26.53</v>
      </c>
      <c r="AC8" s="4" t="n">
        <v>0.023</v>
      </c>
      <c r="AD8" s="4" t="n">
        <v>6.207</v>
      </c>
      <c r="AE8" s="4" t="n">
        <v>42</v>
      </c>
    </row>
    <row r="9" ht="17.1" customHeight="1" thickBot="1">
      <c r="A9" s="8" t="n">
        <v>2735</v>
      </c>
      <c r="B9" s="9" t="inlineStr">
        <is>
          <t>LIPAN-5830</t>
        </is>
      </c>
      <c r="C9" s="8" t="n">
        <v>2016</v>
      </c>
      <c r="D9" s="10" t="n">
        <v>42520</v>
      </c>
      <c r="E9" s="9" t="inlineStr">
        <is>
          <t>E.-Mai</t>
        </is>
      </c>
      <c r="F9" s="9" t="inlineStr">
        <is>
          <t>E. E. Taiamã</t>
        </is>
      </c>
      <c r="G9" s="9" t="inlineStr">
        <is>
          <t>16º 48' 01,35" | 57° 39' 22,89"</t>
        </is>
      </c>
      <c r="H9" s="9" t="inlineStr">
        <is>
          <t>Characiformes</t>
        </is>
      </c>
      <c r="I9" s="9" t="inlineStr">
        <is>
          <t>Piaractus mesopotamicus</t>
        </is>
      </c>
      <c r="J9" s="8" t="n">
        <v>46.1</v>
      </c>
      <c r="K9" s="11" t="n"/>
      <c r="L9" s="8" t="n">
        <v>2520</v>
      </c>
      <c r="M9" s="8" t="n">
        <v>1980</v>
      </c>
      <c r="N9" s="9" t="inlineStr">
        <is>
          <t>F</t>
        </is>
      </c>
      <c r="O9" s="9" t="inlineStr">
        <is>
          <t>REP</t>
        </is>
      </c>
      <c r="P9" s="8" t="n">
        <v>8.41</v>
      </c>
      <c r="Q9" s="8" t="n">
        <v>3</v>
      </c>
      <c r="R9" s="8" t="n">
        <v>27</v>
      </c>
      <c r="S9" s="5">
        <f>IF(AND(M9&gt;0,P9&gt;0),M9-P9,"")</f>
        <v/>
      </c>
      <c r="T9" s="6">
        <f>IF(AND(L9&gt;0,P9&gt;0),(P9/L9)*100,"")</f>
        <v/>
      </c>
      <c r="U9" s="6">
        <f>IF(AND(L9&gt;0,R9&gt;0),(R9/L9)*100,"")</f>
        <v/>
      </c>
      <c r="V9" s="5">
        <f>IF(AND(J9&gt;0,L9&gt;0),(L9/(J9^3))*100,"")</f>
        <v/>
      </c>
      <c r="W9" s="7" t="n">
        <v>2.65</v>
      </c>
      <c r="X9" s="7" t="n">
        <v>3.53</v>
      </c>
      <c r="Y9" s="7" t="n">
        <v>2.17</v>
      </c>
      <c r="Z9" s="4" t="n">
        <v>6.46</v>
      </c>
      <c r="AA9" s="4" t="n"/>
      <c r="AB9" s="4" t="n">
        <v>26.53</v>
      </c>
      <c r="AC9" s="4" t="n">
        <v>0.023</v>
      </c>
      <c r="AD9" s="4" t="n">
        <v>6.207</v>
      </c>
      <c r="AE9" s="4" t="n">
        <v>42</v>
      </c>
    </row>
    <row r="10" ht="17.1" customHeight="1" thickBot="1">
      <c r="A10" s="12" t="n">
        <v>2736</v>
      </c>
      <c r="B10" s="13" t="inlineStr">
        <is>
          <t>LIPAN-5831</t>
        </is>
      </c>
      <c r="C10" s="12" t="n">
        <v>2016</v>
      </c>
      <c r="D10" s="14" t="n">
        <v>42520</v>
      </c>
      <c r="E10" s="13" t="inlineStr">
        <is>
          <t>E.-Mai</t>
        </is>
      </c>
      <c r="F10" s="13" t="inlineStr">
        <is>
          <t>E. E. Taiamã</t>
        </is>
      </c>
      <c r="G10" s="13" t="inlineStr">
        <is>
          <t>16º 48' 01,35" | 57° 39' 22,89"</t>
        </is>
      </c>
      <c r="H10" s="13" t="inlineStr">
        <is>
          <t>Characiformes</t>
        </is>
      </c>
      <c r="I10" s="13" t="inlineStr">
        <is>
          <t>Piaractus mesopotamicus</t>
        </is>
      </c>
      <c r="J10" s="12" t="n">
        <v>46.1</v>
      </c>
      <c r="K10" s="15" t="n"/>
      <c r="L10" s="12" t="n">
        <v>2630</v>
      </c>
      <c r="M10" s="12" t="n">
        <v>2070</v>
      </c>
      <c r="N10" s="13" t="inlineStr">
        <is>
          <t>F</t>
        </is>
      </c>
      <c r="O10" s="13" t="inlineStr">
        <is>
          <t>REP</t>
        </is>
      </c>
      <c r="P10" s="12" t="n">
        <v>13.53</v>
      </c>
      <c r="Q10" s="12" t="n">
        <v>3</v>
      </c>
      <c r="R10" s="12" t="n">
        <v>23</v>
      </c>
      <c r="S10" s="5">
        <f>IF(AND(M10&gt;0,P10&gt;0),M10-P10,"")</f>
        <v/>
      </c>
      <c r="T10" s="6">
        <f>IF(AND(L10&gt;0,P10&gt;0),(P10/L10)*100,"")</f>
        <v/>
      </c>
      <c r="U10" s="6">
        <f>IF(AND(L10&gt;0,R10&gt;0),(R10/L10)*100,"")</f>
        <v/>
      </c>
      <c r="V10" s="5">
        <f>IF(AND(J10&gt;0,L10&gt;0),(L10/(J10^3))*100,"")</f>
        <v/>
      </c>
      <c r="W10" s="7" t="n">
        <v>2.65</v>
      </c>
      <c r="X10" s="7" t="n">
        <v>3.53</v>
      </c>
      <c r="Y10" s="7" t="n">
        <v>2.17</v>
      </c>
      <c r="Z10" s="4" t="n">
        <v>6.46</v>
      </c>
      <c r="AA10" s="4" t="n"/>
      <c r="AB10" s="4" t="n">
        <v>26.53</v>
      </c>
      <c r="AC10" s="4" t="n">
        <v>0.023</v>
      </c>
      <c r="AD10" s="4" t="n">
        <v>6.207</v>
      </c>
      <c r="AE10" s="4" t="n">
        <v>42</v>
      </c>
    </row>
    <row r="11" ht="17.1" customHeight="1" thickBot="1">
      <c r="A11" s="8" t="n">
        <v>2737</v>
      </c>
      <c r="B11" s="9" t="inlineStr">
        <is>
          <t>LIPAN-5832</t>
        </is>
      </c>
      <c r="C11" s="8" t="n">
        <v>2016</v>
      </c>
      <c r="D11" s="10" t="n">
        <v>42520</v>
      </c>
      <c r="E11" s="9" t="inlineStr">
        <is>
          <t>E.-Mai</t>
        </is>
      </c>
      <c r="F11" s="9" t="inlineStr">
        <is>
          <t>E. E. Taiamã</t>
        </is>
      </c>
      <c r="G11" s="9" t="inlineStr">
        <is>
          <t>16º 48' 01,35" | 57° 39' 22,89"</t>
        </is>
      </c>
      <c r="H11" s="9" t="inlineStr">
        <is>
          <t>Characiformes</t>
        </is>
      </c>
      <c r="I11" s="9" t="inlineStr">
        <is>
          <t>Piaractus mesopotamicus</t>
        </is>
      </c>
      <c r="J11" s="8" t="n">
        <v>48</v>
      </c>
      <c r="K11" s="11" t="n"/>
      <c r="L11" s="8" t="n">
        <v>2680</v>
      </c>
      <c r="M11" s="8" t="n">
        <v>2110</v>
      </c>
      <c r="N11" s="9" t="inlineStr">
        <is>
          <t>F</t>
        </is>
      </c>
      <c r="O11" s="9" t="inlineStr">
        <is>
          <t>REP</t>
        </is>
      </c>
      <c r="P11" s="8" t="n">
        <v>13.58</v>
      </c>
      <c r="Q11" s="8" t="n">
        <v>3</v>
      </c>
      <c r="R11" s="8" t="n">
        <v>13</v>
      </c>
      <c r="S11" s="5">
        <f>IF(AND(M11&gt;0,P11&gt;0),M11-P11,"")</f>
        <v/>
      </c>
      <c r="T11" s="6">
        <f>IF(AND(L11&gt;0,P11&gt;0),(P11/L11)*100,"")</f>
        <v/>
      </c>
      <c r="U11" s="6">
        <f>IF(AND(L11&gt;0,R11&gt;0),(R11/L11)*100,"")</f>
        <v/>
      </c>
      <c r="V11" s="5">
        <f>IF(AND(J11&gt;0,L11&gt;0),(L11/(J11^3))*100,"")</f>
        <v/>
      </c>
      <c r="W11" s="7" t="n">
        <v>2.65</v>
      </c>
      <c r="X11" s="7" t="n">
        <v>3.53</v>
      </c>
      <c r="Y11" s="7" t="n">
        <v>2.17</v>
      </c>
      <c r="Z11" s="4" t="n">
        <v>6.46</v>
      </c>
      <c r="AA11" s="4" t="n"/>
      <c r="AB11" s="4" t="n">
        <v>26.53</v>
      </c>
      <c r="AC11" s="4" t="n">
        <v>0.023</v>
      </c>
      <c r="AD11" s="4" t="n">
        <v>6.207</v>
      </c>
      <c r="AE11" s="4" t="n">
        <v>42</v>
      </c>
    </row>
    <row r="12" ht="17.1" customHeight="1" thickBot="1">
      <c r="A12" s="12" t="n">
        <v>2738</v>
      </c>
      <c r="B12" s="13" t="inlineStr">
        <is>
          <t>LIPAN-5833</t>
        </is>
      </c>
      <c r="C12" s="12" t="n">
        <v>2016</v>
      </c>
      <c r="D12" s="14" t="n">
        <v>42520</v>
      </c>
      <c r="E12" s="13" t="inlineStr">
        <is>
          <t>E.-Mai</t>
        </is>
      </c>
      <c r="F12" s="13" t="inlineStr">
        <is>
          <t>E. E. Taiamã</t>
        </is>
      </c>
      <c r="G12" s="13" t="inlineStr">
        <is>
          <t>16º 48' 01,35" | 57° 39' 22,89"</t>
        </is>
      </c>
      <c r="H12" s="13" t="inlineStr">
        <is>
          <t>Characiformes</t>
        </is>
      </c>
      <c r="I12" s="13" t="inlineStr">
        <is>
          <t>Piaractus mesopotamicus</t>
        </is>
      </c>
      <c r="J12" s="12" t="n">
        <v>43.7</v>
      </c>
      <c r="K12" s="15" t="n"/>
      <c r="L12" s="12" t="n">
        <v>1820</v>
      </c>
      <c r="M12" s="12" t="n">
        <v>1430</v>
      </c>
      <c r="N12" s="13" t="inlineStr">
        <is>
          <t>M</t>
        </is>
      </c>
      <c r="O12" s="13" t="inlineStr">
        <is>
          <t>REP</t>
        </is>
      </c>
      <c r="P12" s="12" t="n">
        <v>1.8</v>
      </c>
      <c r="Q12" s="12" t="n">
        <v>1</v>
      </c>
      <c r="R12" s="12" t="n">
        <v>9</v>
      </c>
      <c r="S12" s="5">
        <f>IF(AND(M12&gt;0,P12&gt;0),M12-P12,"")</f>
        <v/>
      </c>
      <c r="T12" s="6">
        <f>IF(AND(L12&gt;0,P12&gt;0),(P12/L12)*100,"")</f>
        <v/>
      </c>
      <c r="U12" s="6">
        <f>IF(AND(L12&gt;0,R12&gt;0),(R12/L12)*100,"")</f>
        <v/>
      </c>
      <c r="V12" s="5">
        <f>IF(AND(J12&gt;0,L12&gt;0),(L12/(J12^3))*100,"")</f>
        <v/>
      </c>
      <c r="W12" s="7" t="n">
        <v>2.65</v>
      </c>
      <c r="X12" s="7" t="n">
        <v>3.53</v>
      </c>
      <c r="Y12" s="7" t="n">
        <v>2.17</v>
      </c>
      <c r="Z12" s="4" t="n">
        <v>6.46</v>
      </c>
      <c r="AA12" s="4" t="n"/>
      <c r="AB12" s="4" t="n">
        <v>26.53</v>
      </c>
      <c r="AC12" s="4" t="n">
        <v>0.023</v>
      </c>
      <c r="AD12" s="4" t="n">
        <v>6.207</v>
      </c>
      <c r="AE12" s="4" t="n">
        <v>42</v>
      </c>
    </row>
    <row r="13" ht="17.1" customHeight="1" thickBot="1">
      <c r="A13" s="8" t="n">
        <v>2739</v>
      </c>
      <c r="B13" s="9" t="inlineStr">
        <is>
          <t>LIPAN-5834</t>
        </is>
      </c>
      <c r="C13" s="8" t="n">
        <v>2016</v>
      </c>
      <c r="D13" s="10" t="n">
        <v>42520</v>
      </c>
      <c r="E13" s="9" t="inlineStr">
        <is>
          <t>E.-Mai</t>
        </is>
      </c>
      <c r="F13" s="9" t="inlineStr">
        <is>
          <t>E. E. Taiamã</t>
        </is>
      </c>
      <c r="G13" s="9" t="inlineStr">
        <is>
          <t>16º 48' 01,35" | 57° 39' 22,89"</t>
        </is>
      </c>
      <c r="H13" s="9" t="inlineStr">
        <is>
          <t>Characiformes</t>
        </is>
      </c>
      <c r="I13" s="9" t="inlineStr">
        <is>
          <t>Piaractus mesopotamicus</t>
        </is>
      </c>
      <c r="J13" s="8" t="n">
        <v>44.4</v>
      </c>
      <c r="K13" s="11" t="n"/>
      <c r="L13" s="8" t="n">
        <v>1960</v>
      </c>
      <c r="M13" s="8" t="n">
        <v>1540</v>
      </c>
      <c r="N13" s="9" t="inlineStr">
        <is>
          <t>M</t>
        </is>
      </c>
      <c r="O13" s="9" t="inlineStr">
        <is>
          <t>REP</t>
        </is>
      </c>
      <c r="P13" s="8" t="n">
        <v>0.31</v>
      </c>
      <c r="Q13" s="8" t="n">
        <v>2</v>
      </c>
      <c r="R13" s="8" t="n">
        <v>16</v>
      </c>
      <c r="S13" s="5">
        <f>IF(AND(M13&gt;0,P13&gt;0),M13-P13,"")</f>
        <v/>
      </c>
      <c r="T13" s="6">
        <f>IF(AND(L13&gt;0,P13&gt;0),(P13/L13)*100,"")</f>
        <v/>
      </c>
      <c r="U13" s="6">
        <f>IF(AND(L13&gt;0,R13&gt;0),(R13/L13)*100,"")</f>
        <v/>
      </c>
      <c r="V13" s="5">
        <f>IF(AND(J13&gt;0,L13&gt;0),(L13/(J13^3))*100,"")</f>
        <v/>
      </c>
      <c r="W13" s="7" t="n">
        <v>2.65</v>
      </c>
      <c r="X13" s="7" t="n">
        <v>3.53</v>
      </c>
      <c r="Y13" s="7" t="n">
        <v>2.17</v>
      </c>
      <c r="Z13" s="4" t="n">
        <v>6.46</v>
      </c>
      <c r="AA13" s="4" t="n"/>
      <c r="AB13" s="4" t="n">
        <v>26.53</v>
      </c>
      <c r="AC13" s="4" t="n">
        <v>0.023</v>
      </c>
      <c r="AD13" s="4" t="n">
        <v>6.207</v>
      </c>
      <c r="AE13" s="4" t="n">
        <v>42</v>
      </c>
    </row>
    <row r="14" ht="17.1" customHeight="1" thickBot="1">
      <c r="A14" s="12" t="n">
        <v>2740</v>
      </c>
      <c r="B14" s="13" t="inlineStr">
        <is>
          <t>LIPAN-5835</t>
        </is>
      </c>
      <c r="C14" s="12" t="n">
        <v>2016</v>
      </c>
      <c r="D14" s="14" t="n">
        <v>42520</v>
      </c>
      <c r="E14" s="13" t="inlineStr">
        <is>
          <t>E.-Mai</t>
        </is>
      </c>
      <c r="F14" s="13" t="inlineStr">
        <is>
          <t>E. E. Taiamã</t>
        </is>
      </c>
      <c r="G14" s="13" t="inlineStr">
        <is>
          <t>16º 48' 01,35" | 57° 39' 22,89"</t>
        </is>
      </c>
      <c r="H14" s="13" t="inlineStr">
        <is>
          <t>Characiformes</t>
        </is>
      </c>
      <c r="I14" s="13" t="inlineStr">
        <is>
          <t>Piaractus mesopotamicus</t>
        </is>
      </c>
      <c r="J14" s="12" t="n">
        <v>40.2</v>
      </c>
      <c r="K14" s="15" t="n"/>
      <c r="L14" s="12" t="n">
        <v>1610</v>
      </c>
      <c r="M14" s="12" t="n">
        <v>1270</v>
      </c>
      <c r="N14" s="13" t="inlineStr">
        <is>
          <t>M</t>
        </is>
      </c>
      <c r="O14" s="13" t="inlineStr">
        <is>
          <t>REP</t>
        </is>
      </c>
      <c r="P14" s="12" t="n">
        <v>0.21</v>
      </c>
      <c r="Q14" s="12" t="n">
        <v>3</v>
      </c>
      <c r="R14" s="12" t="n">
        <v>15</v>
      </c>
      <c r="S14" s="5">
        <f>IF(AND(M14&gt;0,P14&gt;0),M14-P14,"")</f>
        <v/>
      </c>
      <c r="T14" s="6">
        <f>IF(AND(L14&gt;0,P14&gt;0),(P14/L14)*100,"")</f>
        <v/>
      </c>
      <c r="U14" s="6">
        <f>IF(AND(L14&gt;0,R14&gt;0),(R14/L14)*100,"")</f>
        <v/>
      </c>
      <c r="V14" s="5">
        <f>IF(AND(J14&gt;0,L14&gt;0),(L14/(J14^3))*100,"")</f>
        <v/>
      </c>
      <c r="W14" s="7" t="n">
        <v>2.65</v>
      </c>
      <c r="X14" s="7" t="n">
        <v>3.53</v>
      </c>
      <c r="Y14" s="7" t="n">
        <v>2.17</v>
      </c>
      <c r="Z14" s="4" t="n">
        <v>6.46</v>
      </c>
      <c r="AA14" s="4" t="n"/>
      <c r="AB14" s="4" t="n">
        <v>26.53</v>
      </c>
      <c r="AC14" s="4" t="n">
        <v>0.023</v>
      </c>
      <c r="AD14" s="4" t="n">
        <v>6.207</v>
      </c>
      <c r="AE14" s="4" t="n">
        <v>42</v>
      </c>
    </row>
    <row r="15" ht="17.1" customHeight="1" thickBot="1">
      <c r="A15" s="8" t="n">
        <v>2741</v>
      </c>
      <c r="B15" s="9" t="inlineStr">
        <is>
          <t>LIPAN-5836</t>
        </is>
      </c>
      <c r="C15" s="8" t="n">
        <v>2016</v>
      </c>
      <c r="D15" s="10" t="n">
        <v>42520</v>
      </c>
      <c r="E15" s="9" t="inlineStr">
        <is>
          <t>E.-Mai</t>
        </is>
      </c>
      <c r="F15" s="9" t="inlineStr">
        <is>
          <t>E. E. Taiamã</t>
        </is>
      </c>
      <c r="G15" s="9" t="inlineStr">
        <is>
          <t>16º 48' 01,35" | 57° 39' 22,89"</t>
        </is>
      </c>
      <c r="H15" s="9" t="inlineStr">
        <is>
          <t>Characiformes</t>
        </is>
      </c>
      <c r="I15" s="9" t="inlineStr">
        <is>
          <t>Piaractus mesopotamicus</t>
        </is>
      </c>
      <c r="J15" s="8" t="n">
        <v>43.2</v>
      </c>
      <c r="K15" s="11" t="n"/>
      <c r="L15" s="8" t="n">
        <v>1950</v>
      </c>
      <c r="M15" s="8" t="n">
        <v>1530</v>
      </c>
      <c r="N15" s="9" t="inlineStr">
        <is>
          <t>M</t>
        </is>
      </c>
      <c r="O15" s="9" t="inlineStr">
        <is>
          <t>REP</t>
        </is>
      </c>
      <c r="P15" s="8" t="n">
        <v>1.9</v>
      </c>
      <c r="Q15" s="8" t="n">
        <v>3</v>
      </c>
      <c r="R15" s="8" t="n">
        <v>18</v>
      </c>
      <c r="S15" s="5">
        <f>IF(AND(M15&gt;0,P15&gt;0),M15-P15,"")</f>
        <v/>
      </c>
      <c r="T15" s="6">
        <f>IF(AND(L15&gt;0,P15&gt;0),(P15/L15)*100,"")</f>
        <v/>
      </c>
      <c r="U15" s="6">
        <f>IF(AND(L15&gt;0,R15&gt;0),(R15/L15)*100,"")</f>
        <v/>
      </c>
      <c r="V15" s="5">
        <f>IF(AND(J15&gt;0,L15&gt;0),(L15/(J15^3))*100,"")</f>
        <v/>
      </c>
      <c r="W15" s="7" t="n">
        <v>2.65</v>
      </c>
      <c r="X15" s="7" t="n">
        <v>3.53</v>
      </c>
      <c r="Y15" s="7" t="n">
        <v>2.17</v>
      </c>
      <c r="Z15" s="4" t="n">
        <v>6.46</v>
      </c>
      <c r="AA15" s="4" t="n"/>
      <c r="AB15" s="4" t="n">
        <v>26.53</v>
      </c>
      <c r="AC15" s="4" t="n">
        <v>0.023</v>
      </c>
      <c r="AD15" s="4" t="n">
        <v>6.207</v>
      </c>
      <c r="AE15" s="4" t="n">
        <v>42</v>
      </c>
    </row>
    <row r="16" ht="17.1" customHeight="1" thickBot="1">
      <c r="A16" s="12" t="n">
        <v>2742</v>
      </c>
      <c r="B16" s="13" t="inlineStr">
        <is>
          <t>LIPAN-5837</t>
        </is>
      </c>
      <c r="C16" s="12" t="n">
        <v>2016</v>
      </c>
      <c r="D16" s="14" t="n">
        <v>42520</v>
      </c>
      <c r="E16" s="13" t="inlineStr">
        <is>
          <t>E.-Mai</t>
        </is>
      </c>
      <c r="F16" s="13" t="inlineStr">
        <is>
          <t>E. E. Taiamã</t>
        </is>
      </c>
      <c r="G16" s="13" t="inlineStr">
        <is>
          <t>16º 48' 01,35" | 57° 39' 22,89"</t>
        </is>
      </c>
      <c r="H16" s="13" t="inlineStr">
        <is>
          <t>Characiformes</t>
        </is>
      </c>
      <c r="I16" s="13" t="inlineStr">
        <is>
          <t>Piaractus mesopotamicus</t>
        </is>
      </c>
      <c r="J16" s="12" t="n">
        <v>41.9</v>
      </c>
      <c r="K16" s="15" t="n"/>
      <c r="L16" s="12" t="n">
        <v>1770</v>
      </c>
      <c r="M16" s="12" t="n">
        <v>1390</v>
      </c>
      <c r="N16" s="13" t="inlineStr">
        <is>
          <t>F</t>
        </is>
      </c>
      <c r="O16" s="13" t="inlineStr">
        <is>
          <t>REP</t>
        </is>
      </c>
      <c r="P16" s="12" t="n">
        <v>6.26</v>
      </c>
      <c r="Q16" s="12" t="n">
        <v>3</v>
      </c>
      <c r="R16" s="12" t="n">
        <v>19</v>
      </c>
      <c r="S16" s="5">
        <f>IF(AND(M16&gt;0,P16&gt;0),M16-P16,"")</f>
        <v/>
      </c>
      <c r="T16" s="6">
        <f>IF(AND(L16&gt;0,P16&gt;0),(P16/L16)*100,"")</f>
        <v/>
      </c>
      <c r="U16" s="6">
        <f>IF(AND(L16&gt;0,R16&gt;0),(R16/L16)*100,"")</f>
        <v/>
      </c>
      <c r="V16" s="5">
        <f>IF(AND(J16&gt;0,L16&gt;0),(L16/(J16^3))*100,"")</f>
        <v/>
      </c>
      <c r="W16" s="7" t="n">
        <v>2.65</v>
      </c>
      <c r="X16" s="7" t="n">
        <v>3.53</v>
      </c>
      <c r="Y16" s="7" t="n">
        <v>2.17</v>
      </c>
      <c r="Z16" s="4" t="n">
        <v>6.46</v>
      </c>
      <c r="AA16" s="4" t="n"/>
      <c r="AB16" s="4" t="n">
        <v>26.53</v>
      </c>
      <c r="AC16" s="4" t="n">
        <v>0.023</v>
      </c>
      <c r="AD16" s="4" t="n">
        <v>6.207</v>
      </c>
      <c r="AE16" s="4" t="n">
        <v>42</v>
      </c>
    </row>
    <row r="17" ht="17.1" customHeight="1" thickBot="1">
      <c r="A17" s="8" t="n">
        <v>2743</v>
      </c>
      <c r="B17" s="9" t="inlineStr">
        <is>
          <t>LIPAN-5838</t>
        </is>
      </c>
      <c r="C17" s="8" t="n">
        <v>2016</v>
      </c>
      <c r="D17" s="10" t="n">
        <v>42520</v>
      </c>
      <c r="E17" s="9" t="inlineStr">
        <is>
          <t>E.-Mai</t>
        </is>
      </c>
      <c r="F17" s="9" t="inlineStr">
        <is>
          <t>E. E. Taiamã</t>
        </is>
      </c>
      <c r="G17" s="9" t="inlineStr">
        <is>
          <t>16º 48' 01,35" | 57° 39' 22,89"</t>
        </is>
      </c>
      <c r="H17" s="9" t="inlineStr">
        <is>
          <t>Siluriformes</t>
        </is>
      </c>
      <c r="I17" s="9" t="inlineStr">
        <is>
          <t>Pinirampus pirinampu</t>
        </is>
      </c>
      <c r="J17" s="8" t="n">
        <v>54.6</v>
      </c>
      <c r="K17" s="11" t="n"/>
      <c r="L17" s="8" t="n">
        <v>1590</v>
      </c>
      <c r="M17" s="8" t="n">
        <v>1380</v>
      </c>
      <c r="N17" s="9" t="inlineStr">
        <is>
          <t>M</t>
        </is>
      </c>
      <c r="O17" s="9" t="inlineStr">
        <is>
          <t>REP</t>
        </is>
      </c>
      <c r="P17" s="8" t="n">
        <v>2</v>
      </c>
      <c r="Q17" s="8" t="n">
        <v>0</v>
      </c>
      <c r="R17" s="8" t="n">
        <v>16</v>
      </c>
      <c r="S17" s="5">
        <f>IF(AND(M17&gt;0,P17&gt;0),M17-P17,"")</f>
        <v/>
      </c>
      <c r="T17" s="6">
        <f>IF(AND(L17&gt;0,P17&gt;0),(P17/L17)*100,"")</f>
        <v/>
      </c>
      <c r="U17" s="6">
        <f>IF(AND(L17&gt;0,R17&gt;0),(R17/L17)*100,"")</f>
        <v/>
      </c>
      <c r="V17" s="5">
        <f>IF(AND(J17&gt;0,L17&gt;0),(L17/(J17^3))*100,"")</f>
        <v/>
      </c>
      <c r="W17" s="7" t="n">
        <v>2.65</v>
      </c>
      <c r="X17" s="7" t="n">
        <v>3.53</v>
      </c>
      <c r="Y17" s="7" t="n">
        <v>2.17</v>
      </c>
      <c r="Z17" s="4" t="n">
        <v>6.46</v>
      </c>
      <c r="AA17" s="4" t="n"/>
      <c r="AB17" s="4" t="n">
        <v>26.53</v>
      </c>
      <c r="AC17" s="4" t="n">
        <v>0.023</v>
      </c>
      <c r="AD17" s="4" t="n">
        <v>6.207</v>
      </c>
      <c r="AE17" s="4" t="n">
        <v>42</v>
      </c>
    </row>
    <row r="18" ht="17.1" customHeight="1" thickBot="1">
      <c r="A18" s="12" t="n">
        <v>2744</v>
      </c>
      <c r="B18" s="13" t="inlineStr">
        <is>
          <t>LIPAN-5839</t>
        </is>
      </c>
      <c r="C18" s="12" t="n">
        <v>2016</v>
      </c>
      <c r="D18" s="14" t="n">
        <v>42520</v>
      </c>
      <c r="E18" s="13" t="inlineStr">
        <is>
          <t>E.-Mai</t>
        </is>
      </c>
      <c r="F18" s="13" t="inlineStr">
        <is>
          <t>E. E. Taiamã</t>
        </is>
      </c>
      <c r="G18" s="13" t="inlineStr">
        <is>
          <t>16º 48' 01,35" | 57° 39' 22,89"</t>
        </is>
      </c>
      <c r="H18" s="13" t="inlineStr">
        <is>
          <t>Characiformes</t>
        </is>
      </c>
      <c r="I18" s="13" t="inlineStr">
        <is>
          <t>Piaractus mesopotamicus</t>
        </is>
      </c>
      <c r="J18" s="12" t="n">
        <v>37.4</v>
      </c>
      <c r="K18" s="15" t="n"/>
      <c r="L18" s="12" t="n">
        <v>1370</v>
      </c>
      <c r="M18" s="12" t="n">
        <v>1080</v>
      </c>
      <c r="N18" s="13" t="inlineStr">
        <is>
          <t>F</t>
        </is>
      </c>
      <c r="O18" s="13" t="inlineStr">
        <is>
          <t>REP</t>
        </is>
      </c>
      <c r="P18" s="12" t="n">
        <v>2.97</v>
      </c>
      <c r="Q18" s="12" t="n">
        <v>2</v>
      </c>
      <c r="R18" s="12" t="n">
        <v>15</v>
      </c>
      <c r="S18" s="5">
        <f>IF(AND(M18&gt;0,P18&gt;0),M18-P18,"")</f>
        <v/>
      </c>
      <c r="T18" s="6">
        <f>IF(AND(L18&gt;0,P18&gt;0),(P18/L18)*100,"")</f>
        <v/>
      </c>
      <c r="U18" s="6">
        <f>IF(AND(L18&gt;0,R18&gt;0),(R18/L18)*100,"")</f>
        <v/>
      </c>
      <c r="V18" s="5">
        <f>IF(AND(J18&gt;0,L18&gt;0),(L18/(J18^3))*100,"")</f>
        <v/>
      </c>
      <c r="W18" s="7" t="n">
        <v>2.65</v>
      </c>
      <c r="X18" s="7" t="n">
        <v>3.53</v>
      </c>
      <c r="Y18" s="7" t="n">
        <v>2.17</v>
      </c>
      <c r="Z18" s="4" t="n">
        <v>6.46</v>
      </c>
      <c r="AA18" s="4" t="n"/>
      <c r="AB18" s="4" t="n">
        <v>26.53</v>
      </c>
      <c r="AC18" s="4" t="n">
        <v>0.023</v>
      </c>
      <c r="AD18" s="4" t="n">
        <v>6.207</v>
      </c>
      <c r="AE18" s="4" t="n">
        <v>42</v>
      </c>
    </row>
    <row r="19" ht="17.1" customHeight="1" thickBot="1">
      <c r="A19" s="8" t="n">
        <v>2745</v>
      </c>
      <c r="B19" s="9" t="inlineStr">
        <is>
          <t>LIPAN-5840</t>
        </is>
      </c>
      <c r="C19" s="8" t="n">
        <v>2016</v>
      </c>
      <c r="D19" s="10" t="n">
        <v>42520</v>
      </c>
      <c r="E19" s="9" t="inlineStr">
        <is>
          <t>E.-Mai</t>
        </is>
      </c>
      <c r="F19" s="9" t="inlineStr">
        <is>
          <t>E. E. Taiamã</t>
        </is>
      </c>
      <c r="G19" s="9" t="inlineStr">
        <is>
          <t>16º 48' 01,35" | 57° 39' 22,89"</t>
        </is>
      </c>
      <c r="H19" s="9" t="inlineStr">
        <is>
          <t>Characiformes</t>
        </is>
      </c>
      <c r="I19" s="9" t="inlineStr">
        <is>
          <t>Piaractus mesopotamicus</t>
        </is>
      </c>
      <c r="J19" s="8" t="n">
        <v>40.1</v>
      </c>
      <c r="K19" s="11" t="n"/>
      <c r="L19" s="8" t="n">
        <v>1760</v>
      </c>
      <c r="M19" s="8" t="n">
        <v>1390</v>
      </c>
      <c r="N19" s="9" t="inlineStr">
        <is>
          <t>F</t>
        </is>
      </c>
      <c r="O19" s="9" t="inlineStr">
        <is>
          <t>REP</t>
        </is>
      </c>
      <c r="P19" s="8" t="n">
        <v>1.38</v>
      </c>
      <c r="Q19" s="8" t="n">
        <v>2</v>
      </c>
      <c r="R19" s="8" t="n">
        <v>19</v>
      </c>
      <c r="S19" s="5">
        <f>IF(AND(M19&gt;0,P19&gt;0),M19-P19,"")</f>
        <v/>
      </c>
      <c r="T19" s="6">
        <f>IF(AND(L19&gt;0,P19&gt;0),(P19/L19)*100,"")</f>
        <v/>
      </c>
      <c r="U19" s="6">
        <f>IF(AND(L19&gt;0,R19&gt;0),(R19/L19)*100,"")</f>
        <v/>
      </c>
      <c r="V19" s="5">
        <f>IF(AND(J19&gt;0,L19&gt;0),(L19/(J19^3))*100,"")</f>
        <v/>
      </c>
      <c r="W19" s="7" t="n">
        <v>2.65</v>
      </c>
      <c r="X19" s="7" t="n">
        <v>3.53</v>
      </c>
      <c r="Y19" s="7" t="n">
        <v>2.17</v>
      </c>
      <c r="Z19" s="4" t="n">
        <v>6.46</v>
      </c>
      <c r="AA19" s="4" t="n"/>
      <c r="AB19" s="4" t="n">
        <v>26.53</v>
      </c>
      <c r="AC19" s="4" t="n">
        <v>0.023</v>
      </c>
      <c r="AD19" s="4" t="n">
        <v>6.207</v>
      </c>
      <c r="AE19" s="4" t="n">
        <v>42</v>
      </c>
    </row>
    <row r="20" ht="17.1" customHeight="1" thickBot="1">
      <c r="A20" s="12" t="n">
        <v>2746</v>
      </c>
      <c r="B20" s="13" t="inlineStr">
        <is>
          <t>LIPAN-5841</t>
        </is>
      </c>
      <c r="C20" s="12" t="n">
        <v>2016</v>
      </c>
      <c r="D20" s="14" t="n">
        <v>42520</v>
      </c>
      <c r="E20" s="13" t="inlineStr">
        <is>
          <t>E.-Mai</t>
        </is>
      </c>
      <c r="F20" s="13" t="inlineStr">
        <is>
          <t>E. E. Taiamã</t>
        </is>
      </c>
      <c r="G20" s="13" t="inlineStr">
        <is>
          <t>16º 48' 01,35" | 57° 39' 22,89"</t>
        </is>
      </c>
      <c r="H20" s="13" t="inlineStr">
        <is>
          <t>Characiformes</t>
        </is>
      </c>
      <c r="I20" s="13" t="inlineStr">
        <is>
          <t>Piaractus mesopotamicus</t>
        </is>
      </c>
      <c r="J20" s="12" t="n">
        <v>42.1</v>
      </c>
      <c r="K20" s="15" t="n"/>
      <c r="L20" s="12" t="n">
        <v>1870</v>
      </c>
      <c r="M20" s="12" t="n">
        <v>1470</v>
      </c>
      <c r="N20" s="13" t="inlineStr">
        <is>
          <t>M</t>
        </is>
      </c>
      <c r="O20" s="13" t="inlineStr">
        <is>
          <t>REP</t>
        </is>
      </c>
      <c r="P20" s="12" t="n">
        <v>7.97</v>
      </c>
      <c r="Q20" s="12" t="n">
        <v>3</v>
      </c>
      <c r="R20" s="12" t="n">
        <v>23</v>
      </c>
      <c r="S20" s="5">
        <f>IF(AND(M20&gt;0,P20&gt;0),M20-P20,"")</f>
        <v/>
      </c>
      <c r="T20" s="6">
        <f>IF(AND(L20&gt;0,P20&gt;0),(P20/L20)*100,"")</f>
        <v/>
      </c>
      <c r="U20" s="6">
        <f>IF(AND(L20&gt;0,R20&gt;0),(R20/L20)*100,"")</f>
        <v/>
      </c>
      <c r="V20" s="5">
        <f>IF(AND(J20&gt;0,L20&gt;0),(L20/(J20^3))*100,"")</f>
        <v/>
      </c>
      <c r="W20" s="7" t="n">
        <v>2.65</v>
      </c>
      <c r="X20" s="7" t="n">
        <v>3.53</v>
      </c>
      <c r="Y20" s="7" t="n">
        <v>2.17</v>
      </c>
      <c r="Z20" s="4" t="n">
        <v>6.46</v>
      </c>
      <c r="AA20" s="4" t="n"/>
      <c r="AB20" s="4" t="n">
        <v>26.53</v>
      </c>
      <c r="AC20" s="4" t="n">
        <v>0.023</v>
      </c>
      <c r="AD20" s="4" t="n">
        <v>6.207</v>
      </c>
      <c r="AE20" s="4" t="n">
        <v>42</v>
      </c>
    </row>
    <row r="21" ht="17.1" customHeight="1" thickBot="1">
      <c r="A21" s="8" t="n">
        <v>2747</v>
      </c>
      <c r="B21" s="9" t="inlineStr">
        <is>
          <t>LIPAN-5842</t>
        </is>
      </c>
      <c r="C21" s="8" t="n">
        <v>2016</v>
      </c>
      <c r="D21" s="10" t="n">
        <v>42520</v>
      </c>
      <c r="E21" s="9" t="inlineStr">
        <is>
          <t>E.-Mai</t>
        </is>
      </c>
      <c r="F21" s="9" t="inlineStr">
        <is>
          <t>E. E. Taiamã</t>
        </is>
      </c>
      <c r="G21" s="9" t="inlineStr">
        <is>
          <t>16º 48' 01,35" | 57° 39' 22,89"</t>
        </is>
      </c>
      <c r="H21" s="9" t="inlineStr">
        <is>
          <t>Characiformes</t>
        </is>
      </c>
      <c r="I21" s="9" t="inlineStr">
        <is>
          <t>Piaractus mesopotamicus</t>
        </is>
      </c>
      <c r="J21" s="8" t="n">
        <v>43.1</v>
      </c>
      <c r="K21" s="11" t="n"/>
      <c r="L21" s="8" t="n">
        <v>2130</v>
      </c>
      <c r="M21" s="8" t="n">
        <v>1680</v>
      </c>
      <c r="N21" s="9" t="inlineStr">
        <is>
          <t>M</t>
        </is>
      </c>
      <c r="O21" s="9" t="inlineStr">
        <is>
          <t>REP</t>
        </is>
      </c>
      <c r="P21" s="8" t="n">
        <v>0.63</v>
      </c>
      <c r="Q21" s="8" t="n">
        <v>3</v>
      </c>
      <c r="R21" s="8" t="n">
        <v>24</v>
      </c>
      <c r="S21" s="5">
        <f>IF(AND(M21&gt;0,P21&gt;0),M21-P21,"")</f>
        <v/>
      </c>
      <c r="T21" s="6">
        <f>IF(AND(L21&gt;0,P21&gt;0),(P21/L21)*100,"")</f>
        <v/>
      </c>
      <c r="U21" s="6">
        <f>IF(AND(L21&gt;0,R21&gt;0),(R21/L21)*100,"")</f>
        <v/>
      </c>
      <c r="V21" s="5">
        <f>IF(AND(J21&gt;0,L21&gt;0),(L21/(J21^3))*100,"")</f>
        <v/>
      </c>
      <c r="W21" s="7" t="n">
        <v>2.65</v>
      </c>
      <c r="X21" s="7" t="n">
        <v>3.53</v>
      </c>
      <c r="Y21" s="7" t="n">
        <v>2.17</v>
      </c>
      <c r="Z21" s="4" t="n">
        <v>6.46</v>
      </c>
      <c r="AA21" s="4" t="n"/>
      <c r="AB21" s="4" t="n">
        <v>26.53</v>
      </c>
      <c r="AC21" s="4" t="n">
        <v>0.023</v>
      </c>
      <c r="AD21" s="4" t="n">
        <v>6.207</v>
      </c>
      <c r="AE21" s="4" t="n">
        <v>42</v>
      </c>
    </row>
    <row r="22" ht="17.1" customHeight="1" thickBot="1">
      <c r="A22" s="12" t="n">
        <v>2748</v>
      </c>
      <c r="B22" s="13" t="inlineStr">
        <is>
          <t>LIPAN-5843</t>
        </is>
      </c>
      <c r="C22" s="12" t="n">
        <v>2016</v>
      </c>
      <c r="D22" s="14" t="n">
        <v>42520</v>
      </c>
      <c r="E22" s="13" t="inlineStr">
        <is>
          <t>E.-Mai</t>
        </is>
      </c>
      <c r="F22" s="13" t="inlineStr">
        <is>
          <t>E. E. Taiamã</t>
        </is>
      </c>
      <c r="G22" s="13" t="inlineStr">
        <is>
          <t>16º 48' 01,35" | 57° 39' 22,89"</t>
        </is>
      </c>
      <c r="H22" s="13" t="inlineStr">
        <is>
          <t>Characiformes</t>
        </is>
      </c>
      <c r="I22" s="13" t="inlineStr">
        <is>
          <t>Salminus brasiliensis</t>
        </is>
      </c>
      <c r="J22" s="12" t="n">
        <v>66.09999999999999</v>
      </c>
      <c r="K22" s="15" t="n"/>
      <c r="L22" s="12" t="n">
        <v>4570</v>
      </c>
      <c r="M22" s="12" t="n">
        <v>4040</v>
      </c>
      <c r="N22" s="13" t="inlineStr">
        <is>
          <t>F</t>
        </is>
      </c>
      <c r="O22" s="13" t="inlineStr">
        <is>
          <t>REP</t>
        </is>
      </c>
      <c r="P22" s="12" t="n">
        <v>21.01</v>
      </c>
      <c r="Q22" s="12" t="n">
        <v>0</v>
      </c>
      <c r="R22" s="12" t="n">
        <v>24</v>
      </c>
      <c r="S22" s="5">
        <f>IF(AND(M22&gt;0,P22&gt;0),M22-P22,"")</f>
        <v/>
      </c>
      <c r="T22" s="6">
        <f>IF(AND(L22&gt;0,P22&gt;0),(P22/L22)*100,"")</f>
        <v/>
      </c>
      <c r="U22" s="6">
        <f>IF(AND(L22&gt;0,R22&gt;0),(R22/L22)*100,"")</f>
        <v/>
      </c>
      <c r="V22" s="5">
        <f>IF(AND(J22&gt;0,L22&gt;0),(L22/(J22^3))*100,"")</f>
        <v/>
      </c>
      <c r="W22" s="7" t="n">
        <v>2.65</v>
      </c>
      <c r="X22" s="7" t="n">
        <v>3.53</v>
      </c>
      <c r="Y22" s="7" t="n">
        <v>2.17</v>
      </c>
      <c r="Z22" s="4" t="n">
        <v>6.46</v>
      </c>
      <c r="AA22" s="4" t="n"/>
      <c r="AB22" s="4" t="n">
        <v>26.53</v>
      </c>
      <c r="AC22" s="4" t="n">
        <v>0.023</v>
      </c>
      <c r="AD22" s="4" t="n">
        <v>6.207</v>
      </c>
      <c r="AE22" s="4" t="n">
        <v>42</v>
      </c>
    </row>
    <row r="23" ht="17.1" customHeight="1" thickBot="1">
      <c r="A23" s="8" t="n">
        <v>2749</v>
      </c>
      <c r="B23" s="9" t="inlineStr">
        <is>
          <t>LIPAN-5844</t>
        </is>
      </c>
      <c r="C23" s="8" t="n">
        <v>2016</v>
      </c>
      <c r="D23" s="10" t="n">
        <v>42520</v>
      </c>
      <c r="E23" s="9" t="inlineStr">
        <is>
          <t>E.-Mai</t>
        </is>
      </c>
      <c r="F23" s="9" t="inlineStr">
        <is>
          <t>E. E. Taiamã</t>
        </is>
      </c>
      <c r="G23" s="9" t="inlineStr">
        <is>
          <t>16º 48' 01,35" | 57° 39' 22,89"</t>
        </is>
      </c>
      <c r="H23" s="9" t="inlineStr">
        <is>
          <t>Characiformes</t>
        </is>
      </c>
      <c r="I23" s="9" t="inlineStr">
        <is>
          <t>Salminus brasiliensis</t>
        </is>
      </c>
      <c r="J23" s="8" t="n">
        <v>71.2</v>
      </c>
      <c r="K23" s="11" t="n"/>
      <c r="L23" s="8" t="n">
        <v>5970</v>
      </c>
      <c r="M23" s="8" t="n">
        <v>5270</v>
      </c>
      <c r="N23" s="9" t="inlineStr">
        <is>
          <t>F</t>
        </is>
      </c>
      <c r="O23" s="9" t="inlineStr">
        <is>
          <t>REP</t>
        </is>
      </c>
      <c r="P23" s="8" t="n">
        <v>32.5</v>
      </c>
      <c r="Q23" s="8" t="n">
        <v>3</v>
      </c>
      <c r="R23" s="8" t="n">
        <v>41</v>
      </c>
      <c r="S23" s="5">
        <f>IF(AND(M23&gt;0,P23&gt;0),M23-P23,"")</f>
        <v/>
      </c>
      <c r="T23" s="6">
        <f>IF(AND(L23&gt;0,P23&gt;0),(P23/L23)*100,"")</f>
        <v/>
      </c>
      <c r="U23" s="6">
        <f>IF(AND(L23&gt;0,R23&gt;0),(R23/L23)*100,"")</f>
        <v/>
      </c>
      <c r="V23" s="5">
        <f>IF(AND(J23&gt;0,L23&gt;0),(L23/(J23^3))*100,"")</f>
        <v/>
      </c>
      <c r="W23" s="7" t="n">
        <v>2.65</v>
      </c>
      <c r="X23" s="7" t="n">
        <v>3.53</v>
      </c>
      <c r="Y23" s="7" t="n">
        <v>2.17</v>
      </c>
      <c r="Z23" s="4" t="n">
        <v>6.46</v>
      </c>
      <c r="AA23" s="4" t="n"/>
      <c r="AB23" s="4" t="n">
        <v>26.53</v>
      </c>
      <c r="AC23" s="4" t="n">
        <v>0.023</v>
      </c>
      <c r="AD23" s="4" t="n">
        <v>6.207</v>
      </c>
      <c r="AE23" s="4" t="n">
        <v>42</v>
      </c>
    </row>
    <row r="24" ht="17.1" customHeight="1" thickBot="1">
      <c r="A24" s="12" t="n">
        <v>2750</v>
      </c>
      <c r="B24" s="13" t="inlineStr">
        <is>
          <t>LIPAN-5845</t>
        </is>
      </c>
      <c r="C24" s="12" t="n">
        <v>2016</v>
      </c>
      <c r="D24" s="14" t="n">
        <v>42520</v>
      </c>
      <c r="E24" s="13" t="inlineStr">
        <is>
          <t>E.-Mai</t>
        </is>
      </c>
      <c r="F24" s="13" t="inlineStr">
        <is>
          <t>E. E. Taiamã</t>
        </is>
      </c>
      <c r="G24" s="13" t="inlineStr">
        <is>
          <t>16º 48' 01,35" | 57° 39' 22,89"</t>
        </is>
      </c>
      <c r="H24" s="13" t="inlineStr">
        <is>
          <t>Characiformes</t>
        </is>
      </c>
      <c r="I24" s="13" t="inlineStr">
        <is>
          <t>Salminus brasiliensis</t>
        </is>
      </c>
      <c r="J24" s="12" t="n">
        <v>73</v>
      </c>
      <c r="K24" s="15" t="n"/>
      <c r="L24" s="12" t="n">
        <v>6890</v>
      </c>
      <c r="M24" s="12" t="n">
        <v>6080</v>
      </c>
      <c r="N24" s="13" t="inlineStr">
        <is>
          <t>F</t>
        </is>
      </c>
      <c r="O24" s="13" t="inlineStr">
        <is>
          <t>REP</t>
        </is>
      </c>
      <c r="P24" s="12" t="n">
        <v>40.7</v>
      </c>
      <c r="Q24" s="12" t="n">
        <v>0</v>
      </c>
      <c r="R24" s="12" t="n">
        <v>46</v>
      </c>
      <c r="S24" s="5">
        <f>IF(AND(M24&gt;0,P24&gt;0),M24-P24,"")</f>
        <v/>
      </c>
      <c r="T24" s="6">
        <f>IF(AND(L24&gt;0,P24&gt;0),(P24/L24)*100,"")</f>
        <v/>
      </c>
      <c r="U24" s="6">
        <f>IF(AND(L24&gt;0,R24&gt;0),(R24/L24)*100,"")</f>
        <v/>
      </c>
      <c r="V24" s="5">
        <f>IF(AND(J24&gt;0,L24&gt;0),(L24/(J24^3))*100,"")</f>
        <v/>
      </c>
      <c r="W24" s="7" t="n">
        <v>2.65</v>
      </c>
      <c r="X24" s="7" t="n">
        <v>3.53</v>
      </c>
      <c r="Y24" s="7" t="n">
        <v>2.17</v>
      </c>
      <c r="Z24" s="4" t="n">
        <v>6.46</v>
      </c>
      <c r="AA24" s="4" t="n"/>
      <c r="AB24" s="4" t="n">
        <v>26.53</v>
      </c>
      <c r="AC24" s="4" t="n">
        <v>0.023</v>
      </c>
      <c r="AD24" s="4" t="n">
        <v>6.207</v>
      </c>
      <c r="AE24" s="4" t="n">
        <v>42</v>
      </c>
    </row>
    <row r="25" ht="17.1" customHeight="1" thickBot="1">
      <c r="A25" s="8" t="n">
        <v>2751</v>
      </c>
      <c r="B25" s="9" t="inlineStr">
        <is>
          <t>LIPAN-5846</t>
        </is>
      </c>
      <c r="C25" s="8" t="n">
        <v>2016</v>
      </c>
      <c r="D25" s="10" t="n">
        <v>42520</v>
      </c>
      <c r="E25" s="9" t="inlineStr">
        <is>
          <t>E.-Mai</t>
        </is>
      </c>
      <c r="F25" s="9" t="inlineStr">
        <is>
          <t>E. E. Taiamã</t>
        </is>
      </c>
      <c r="G25" s="9" t="inlineStr">
        <is>
          <t>16º 48' 01,35" | 57° 39' 22,89"</t>
        </is>
      </c>
      <c r="H25" s="9" t="inlineStr">
        <is>
          <t>Characiformes</t>
        </is>
      </c>
      <c r="I25" s="9" t="inlineStr">
        <is>
          <t>Salminus brasiliensis</t>
        </is>
      </c>
      <c r="J25" s="8" t="n">
        <v>63</v>
      </c>
      <c r="K25" s="11" t="n"/>
      <c r="L25" s="8" t="n">
        <v>3590</v>
      </c>
      <c r="M25" s="8" t="n">
        <v>3170</v>
      </c>
      <c r="N25" s="9" t="inlineStr">
        <is>
          <t>M</t>
        </is>
      </c>
      <c r="O25" s="9" t="inlineStr">
        <is>
          <t>REP</t>
        </is>
      </c>
      <c r="P25" s="8" t="n">
        <v>7.94</v>
      </c>
      <c r="Q25" s="8" t="n">
        <v>3</v>
      </c>
      <c r="R25" s="8" t="n">
        <v>31</v>
      </c>
      <c r="S25" s="5">
        <f>IF(AND(M25&gt;0,P25&gt;0),M25-P25,"")</f>
        <v/>
      </c>
      <c r="T25" s="6">
        <f>IF(AND(L25&gt;0,P25&gt;0),(P25/L25)*100,"")</f>
        <v/>
      </c>
      <c r="U25" s="6">
        <f>IF(AND(L25&gt;0,R25&gt;0),(R25/L25)*100,"")</f>
        <v/>
      </c>
      <c r="V25" s="5">
        <f>IF(AND(J25&gt;0,L25&gt;0),(L25/(J25^3))*100,"")</f>
        <v/>
      </c>
      <c r="W25" s="7" t="n">
        <v>2.65</v>
      </c>
      <c r="X25" s="7" t="n">
        <v>3.53</v>
      </c>
      <c r="Y25" s="7" t="n">
        <v>2.17</v>
      </c>
      <c r="Z25" s="4" t="n">
        <v>6.46</v>
      </c>
      <c r="AA25" s="4" t="n"/>
      <c r="AB25" s="4" t="n">
        <v>26.53</v>
      </c>
      <c r="AC25" s="4" t="n">
        <v>0.023</v>
      </c>
      <c r="AD25" s="4" t="n">
        <v>6.207</v>
      </c>
      <c r="AE25" s="4" t="n">
        <v>42</v>
      </c>
    </row>
    <row r="26" ht="17.1" customHeight="1" thickBot="1">
      <c r="A26" s="12" t="n">
        <v>2752</v>
      </c>
      <c r="B26" s="13" t="inlineStr">
        <is>
          <t>LIPAN-5847</t>
        </is>
      </c>
      <c r="C26" s="12" t="n">
        <v>2016</v>
      </c>
      <c r="D26" s="14" t="n">
        <v>42520</v>
      </c>
      <c r="E26" s="13" t="inlineStr">
        <is>
          <t>E.-Mai</t>
        </is>
      </c>
      <c r="F26" s="13" t="inlineStr">
        <is>
          <t>E. E. Taiamã</t>
        </is>
      </c>
      <c r="G26" s="13" t="inlineStr">
        <is>
          <t>16º 48' 01,35" | 57° 39' 22,89"</t>
        </is>
      </c>
      <c r="H26" s="13" t="inlineStr">
        <is>
          <t>Siluriformes</t>
        </is>
      </c>
      <c r="I26" s="13" t="inlineStr">
        <is>
          <t>Pinirampus pirinampu</t>
        </is>
      </c>
      <c r="J26" s="12" t="n">
        <v>68.7</v>
      </c>
      <c r="K26" s="15" t="n"/>
      <c r="L26" s="12" t="n">
        <v>2650</v>
      </c>
      <c r="M26" s="12" t="n">
        <v>2300</v>
      </c>
      <c r="N26" s="13" t="inlineStr">
        <is>
          <t>F</t>
        </is>
      </c>
      <c r="O26" s="13" t="inlineStr">
        <is>
          <t>REP</t>
        </is>
      </c>
      <c r="P26" s="12" t="n">
        <v>16.74</v>
      </c>
      <c r="Q26" s="12" t="n">
        <v>0</v>
      </c>
      <c r="R26" s="12" t="n">
        <v>19</v>
      </c>
      <c r="S26" s="5">
        <f>IF(AND(M26&gt;0,P26&gt;0),M26-P26,"")</f>
        <v/>
      </c>
      <c r="T26" s="6">
        <f>IF(AND(L26&gt;0,P26&gt;0),(P26/L26)*100,"")</f>
        <v/>
      </c>
      <c r="U26" s="6">
        <f>IF(AND(L26&gt;0,R26&gt;0),(R26/L26)*100,"")</f>
        <v/>
      </c>
      <c r="V26" s="5">
        <f>IF(AND(J26&gt;0,L26&gt;0),(L26/(J26^3))*100,"")</f>
        <v/>
      </c>
      <c r="W26" s="7" t="n">
        <v>2.65</v>
      </c>
      <c r="X26" s="7" t="n">
        <v>3.53</v>
      </c>
      <c r="Y26" s="7" t="n">
        <v>2.17</v>
      </c>
      <c r="Z26" s="4" t="n">
        <v>6.46</v>
      </c>
      <c r="AA26" s="4" t="n"/>
      <c r="AB26" s="4" t="n">
        <v>26.53</v>
      </c>
      <c r="AC26" s="4" t="n">
        <v>0.023</v>
      </c>
      <c r="AD26" s="4" t="n">
        <v>6.207</v>
      </c>
      <c r="AE26" s="4" t="n">
        <v>42</v>
      </c>
    </row>
    <row r="27" ht="17.1" customHeight="1" thickBot="1">
      <c r="A27" s="8" t="n">
        <v>2753</v>
      </c>
      <c r="B27" s="9" t="inlineStr">
        <is>
          <t>LIPAN-5848</t>
        </is>
      </c>
      <c r="C27" s="8" t="n">
        <v>2016</v>
      </c>
      <c r="D27" s="10" t="n">
        <v>42520</v>
      </c>
      <c r="E27" s="9" t="inlineStr">
        <is>
          <t>E.-Mai</t>
        </is>
      </c>
      <c r="F27" s="9" t="inlineStr">
        <is>
          <t>E. E. Taiamã</t>
        </is>
      </c>
      <c r="G27" s="9" t="inlineStr">
        <is>
          <t>16º 48' 01,35" | 57° 39' 22,89"</t>
        </is>
      </c>
      <c r="H27" s="9" t="inlineStr">
        <is>
          <t>Siluriformes</t>
        </is>
      </c>
      <c r="I27" s="9" t="inlineStr">
        <is>
          <t>Pseudoplatystoma corruscans</t>
        </is>
      </c>
      <c r="J27" s="8" t="n">
        <v>99.40000000000001</v>
      </c>
      <c r="K27" s="11" t="n"/>
      <c r="L27" s="8" t="n">
        <v>7380</v>
      </c>
      <c r="M27" s="8" t="n">
        <v>6470</v>
      </c>
      <c r="N27" s="9" t="inlineStr">
        <is>
          <t>F</t>
        </is>
      </c>
      <c r="O27" s="9" t="inlineStr">
        <is>
          <t>REP</t>
        </is>
      </c>
      <c r="P27" s="8" t="n">
        <v>38.8</v>
      </c>
      <c r="Q27" s="8" t="n">
        <v>0</v>
      </c>
      <c r="R27" s="8" t="n">
        <v>34</v>
      </c>
      <c r="S27" s="5">
        <f>IF(AND(M27&gt;0,P27&gt;0),M27-P27,"")</f>
        <v/>
      </c>
      <c r="T27" s="6">
        <f>IF(AND(L27&gt;0,P27&gt;0),(P27/L27)*100,"")</f>
        <v/>
      </c>
      <c r="U27" s="6">
        <f>IF(AND(L27&gt;0,R27&gt;0),(R27/L27)*100,"")</f>
        <v/>
      </c>
      <c r="V27" s="5">
        <f>IF(AND(J27&gt;0,L27&gt;0),(L27/(J27^3))*100,"")</f>
        <v/>
      </c>
      <c r="W27" s="7" t="n">
        <v>2.65</v>
      </c>
      <c r="X27" s="7" t="n">
        <v>3.53</v>
      </c>
      <c r="Y27" s="7" t="n">
        <v>2.17</v>
      </c>
      <c r="Z27" s="4" t="n">
        <v>6.46</v>
      </c>
      <c r="AA27" s="4" t="n"/>
      <c r="AB27" s="4" t="n">
        <v>26.53</v>
      </c>
      <c r="AC27" s="4" t="n">
        <v>0.023</v>
      </c>
      <c r="AD27" s="4" t="n">
        <v>6.207</v>
      </c>
      <c r="AE27" s="4" t="n">
        <v>42</v>
      </c>
    </row>
    <row r="28" ht="17.1" customHeight="1" thickBot="1">
      <c r="A28" s="12" t="n">
        <v>2754</v>
      </c>
      <c r="B28" s="13" t="inlineStr">
        <is>
          <t>LIPAN-5849</t>
        </is>
      </c>
      <c r="C28" s="12" t="n">
        <v>2016</v>
      </c>
      <c r="D28" s="14" t="n">
        <v>42520</v>
      </c>
      <c r="E28" s="13" t="inlineStr">
        <is>
          <t>E.-Mai</t>
        </is>
      </c>
      <c r="F28" s="13" t="inlineStr">
        <is>
          <t>E. E. Taiamã</t>
        </is>
      </c>
      <c r="G28" s="13" t="inlineStr">
        <is>
          <t>16º 48' 01,35" | 57° 39' 22,89"</t>
        </is>
      </c>
      <c r="H28" s="13" t="inlineStr">
        <is>
          <t>Siluriformes</t>
        </is>
      </c>
      <c r="I28" s="13" t="inlineStr">
        <is>
          <t>Pseudoplatystoma corruscans</t>
        </is>
      </c>
      <c r="J28" s="12" t="n">
        <v>84.40000000000001</v>
      </c>
      <c r="K28" s="15" t="n"/>
      <c r="L28" s="12" t="n">
        <v>4670</v>
      </c>
      <c r="M28" s="12" t="n">
        <v>4090</v>
      </c>
      <c r="N28" s="13" t="inlineStr">
        <is>
          <t>F</t>
        </is>
      </c>
      <c r="O28" s="13" t="inlineStr">
        <is>
          <t>REP</t>
        </is>
      </c>
      <c r="P28" s="12" t="n">
        <v>11.12</v>
      </c>
      <c r="Q28" s="12" t="n">
        <v>0</v>
      </c>
      <c r="R28" s="12" t="n">
        <v>35</v>
      </c>
      <c r="S28" s="5">
        <f>IF(AND(M28&gt;0,P28&gt;0),M28-P28,"")</f>
        <v/>
      </c>
      <c r="T28" s="6">
        <f>IF(AND(L28&gt;0,P28&gt;0),(P28/L28)*100,"")</f>
        <v/>
      </c>
      <c r="U28" s="6">
        <f>IF(AND(L28&gt;0,R28&gt;0),(R28/L28)*100,"")</f>
        <v/>
      </c>
      <c r="V28" s="5">
        <f>IF(AND(J28&gt;0,L28&gt;0),(L28/(J28^3))*100,"")</f>
        <v/>
      </c>
      <c r="W28" s="7" t="n">
        <v>2.65</v>
      </c>
      <c r="X28" s="7" t="n">
        <v>3.53</v>
      </c>
      <c r="Y28" s="7" t="n">
        <v>2.17</v>
      </c>
      <c r="Z28" s="4" t="n">
        <v>6.46</v>
      </c>
      <c r="AA28" s="4" t="n"/>
      <c r="AB28" s="4" t="n">
        <v>26.53</v>
      </c>
      <c r="AC28" s="4" t="n">
        <v>0.023</v>
      </c>
      <c r="AD28" s="4" t="n">
        <v>6.207</v>
      </c>
      <c r="AE28" s="4" t="n">
        <v>42</v>
      </c>
    </row>
    <row r="29" ht="17.1" customHeight="1" thickBot="1">
      <c r="A29" s="8" t="n">
        <v>2755</v>
      </c>
      <c r="B29" s="9" t="inlineStr">
        <is>
          <t>LIPAN-5850</t>
        </is>
      </c>
      <c r="C29" s="8" t="n">
        <v>2016</v>
      </c>
      <c r="D29" s="10" t="n">
        <v>42520</v>
      </c>
      <c r="E29" s="9" t="inlineStr">
        <is>
          <t>E.-Mai</t>
        </is>
      </c>
      <c r="F29" s="9" t="inlineStr">
        <is>
          <t>E. E. Taiamã</t>
        </is>
      </c>
      <c r="G29" s="9" t="inlineStr">
        <is>
          <t>16º 48' 01,35" | 57° 39' 22,89"</t>
        </is>
      </c>
      <c r="H29" s="9" t="inlineStr">
        <is>
          <t>Siluriformes</t>
        </is>
      </c>
      <c r="I29" s="9" t="inlineStr">
        <is>
          <t>Pseudoplatystoma corruscans</t>
        </is>
      </c>
      <c r="J29" s="8" t="n">
        <v>91.2</v>
      </c>
      <c r="K29" s="11" t="n"/>
      <c r="L29" s="8" t="n">
        <v>6840</v>
      </c>
      <c r="M29" s="8" t="n">
        <v>6000</v>
      </c>
      <c r="N29" s="9" t="inlineStr">
        <is>
          <t>F</t>
        </is>
      </c>
      <c r="O29" s="9" t="inlineStr">
        <is>
          <t>REP</t>
        </is>
      </c>
      <c r="P29" s="8" t="n">
        <v>37.42</v>
      </c>
      <c r="Q29" s="8" t="n">
        <v>3</v>
      </c>
      <c r="R29" s="8" t="n">
        <v>51</v>
      </c>
      <c r="S29" s="5">
        <f>IF(AND(M29&gt;0,P29&gt;0),M29-P29,"")</f>
        <v/>
      </c>
      <c r="T29" s="6">
        <f>IF(AND(L29&gt;0,P29&gt;0),(P29/L29)*100,"")</f>
        <v/>
      </c>
      <c r="U29" s="6">
        <f>IF(AND(L29&gt;0,R29&gt;0),(R29/L29)*100,"")</f>
        <v/>
      </c>
      <c r="V29" s="5">
        <f>IF(AND(J29&gt;0,L29&gt;0),(L29/(J29^3))*100,"")</f>
        <v/>
      </c>
      <c r="W29" s="7" t="n">
        <v>2.65</v>
      </c>
      <c r="X29" s="7" t="n">
        <v>3.53</v>
      </c>
      <c r="Y29" s="7" t="n">
        <v>2.17</v>
      </c>
      <c r="Z29" s="4" t="n">
        <v>6.46</v>
      </c>
      <c r="AA29" s="4" t="n"/>
      <c r="AB29" s="4" t="n">
        <v>26.53</v>
      </c>
      <c r="AC29" s="4" t="n">
        <v>0.023</v>
      </c>
      <c r="AD29" s="4" t="n">
        <v>6.207</v>
      </c>
      <c r="AE29" s="4" t="n">
        <v>42</v>
      </c>
    </row>
    <row r="30" ht="17.1" customHeight="1" thickBot="1">
      <c r="A30" s="12" t="n">
        <v>2756</v>
      </c>
      <c r="B30" s="13" t="inlineStr">
        <is>
          <t>LIPAN-5851</t>
        </is>
      </c>
      <c r="C30" s="12" t="n">
        <v>2016</v>
      </c>
      <c r="D30" s="14" t="n">
        <v>42520</v>
      </c>
      <c r="E30" s="13" t="inlineStr">
        <is>
          <t>E.-Mai</t>
        </is>
      </c>
      <c r="F30" s="13" t="inlineStr">
        <is>
          <t>E. E. Taiamã</t>
        </is>
      </c>
      <c r="G30" s="13" t="inlineStr">
        <is>
          <t>16º 48' 01,35" | 57° 39' 22,89"</t>
        </is>
      </c>
      <c r="H30" s="13" t="inlineStr">
        <is>
          <t>Siluriformes</t>
        </is>
      </c>
      <c r="I30" s="13" t="inlineStr">
        <is>
          <t>Pseudoplatystoma reticulatum</t>
        </is>
      </c>
      <c r="J30" s="12" t="n">
        <v>81.2</v>
      </c>
      <c r="K30" s="15" t="n"/>
      <c r="L30" s="12" t="n">
        <v>4340</v>
      </c>
      <c r="M30" s="12" t="n">
        <v>3740</v>
      </c>
      <c r="N30" s="13" t="inlineStr">
        <is>
          <t>F</t>
        </is>
      </c>
      <c r="O30" s="13" t="inlineStr">
        <is>
          <t>REP</t>
        </is>
      </c>
      <c r="P30" s="12" t="n">
        <v>17.98</v>
      </c>
      <c r="Q30" s="12" t="n">
        <v>0</v>
      </c>
      <c r="R30" s="12" t="n">
        <v>40</v>
      </c>
      <c r="S30" s="5">
        <f>IF(AND(M30&gt;0,P30&gt;0),M30-P30,"")</f>
        <v/>
      </c>
      <c r="T30" s="6">
        <f>IF(AND(L30&gt;0,P30&gt;0),(P30/L30)*100,"")</f>
        <v/>
      </c>
      <c r="U30" s="6">
        <f>IF(AND(L30&gt;0,R30&gt;0),(R30/L30)*100,"")</f>
        <v/>
      </c>
      <c r="V30" s="5">
        <f>IF(AND(J30&gt;0,L30&gt;0),(L30/(J30^3))*100,"")</f>
        <v/>
      </c>
      <c r="W30" s="7" t="n">
        <v>2.65</v>
      </c>
      <c r="X30" s="7" t="n">
        <v>3.53</v>
      </c>
      <c r="Y30" s="7" t="n">
        <v>2.17</v>
      </c>
      <c r="Z30" s="4" t="n">
        <v>6.46</v>
      </c>
      <c r="AA30" s="4" t="n"/>
      <c r="AB30" s="4" t="n">
        <v>26.53</v>
      </c>
      <c r="AC30" s="4" t="n">
        <v>0.023</v>
      </c>
      <c r="AD30" s="4" t="n">
        <v>6.207</v>
      </c>
      <c r="AE30" s="4" t="n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2026-05-27T14:41:21Z</dcterms:created>
  <dcterms:modified xmlns:dcterms="http://purl.org/dc/terms/" xmlns:xsi="http://www.w3.org/2001/XMLSchema-instance" xsi:type="dcterms:W3CDTF">2026-05-28T18:10:35Z</dcterms:modified>
  <cp:lastModifiedBy>Claumir Muniz</cp:lastModifiedBy>
</cp:coreProperties>
</file>